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Vi_du_Text" sheetId="2" state="visible" r:id="rId2"/>
    <sheet xmlns:r="http://schemas.openxmlformats.org/officeDocument/2006/relationships" name="Vi_du_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Tháng &quot;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b val="1"/>
      <color rgb="00203864"/>
      <sz val="14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3" fillId="0" borderId="0" pivotButton="0" quotePrefix="0" xfId="0"/>
    <xf numFmtId="165" fontId="2" fillId="3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72" customWidth="1" min="2" max="2"/>
    <col width="50" customWidth="1" min="3" max="3"/>
  </cols>
  <sheetData>
    <row r="1">
      <c r="A1" s="10" t="inlineStr">
        <is>
          <t>VÍ DỤ B2 — HÀM TEXT VÀ DATE (slide 26, 27)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11" t="n">
        <v>26</v>
      </c>
      <c r="B4" s="11" t="inlineStr">
        <is>
          <t>Sheet Vi_du_Text: F2 vào E2, F2, G2 (LEFT, MID, RIGHT tách Order_ID).</t>
        </is>
      </c>
      <c r="C4" s="11" t="inlineStr">
        <is>
          <t>HD2501-00001 → “HD”, “2501” (năm 25, tháng 01), “00001”.</t>
        </is>
      </c>
    </row>
    <row r="5">
      <c r="A5" s="11" t="n">
        <v>26</v>
      </c>
      <c r="B5" s="11" t="inlineStr">
        <is>
          <t>Cột H (TRIM) và I (ghép bằng &amp;). So độ dài: =LEN(C2) và =LEN(H2).</t>
        </is>
      </c>
      <c r="C5" s="11" t="inlineStr">
        <is>
          <t>“  MCI Mart   Cầu Giấy” → “MCI Mart Cầu Giấy”; I2 = “ST01 – MCI Mart Cầu Giấy”; LEN 21 → 17.</t>
        </is>
      </c>
    </row>
    <row r="6">
      <c r="A6" s="11" t="n">
        <v>26</v>
      </c>
      <c r="B6" s="11" t="inlineStr">
        <is>
          <t>Cột J: =TEXT(D2,"#,##0")&amp;" đ". Thử cộng J2 với 1.</t>
        </is>
      </c>
      <c r="C6" s="11" t="inlineStr">
        <is>
          <t>J2 hiện dạng “19,000 đ” hoặc “19.000 đ” tùy cài đặt vùng; J2+1 ra #VALUE! vì TEXT trả về chữ, không còn là số.</t>
        </is>
      </c>
    </row>
    <row r="7">
      <c r="A7" s="11" t="n">
        <v>27</v>
      </c>
      <c r="B7" s="11" t="inlineStr">
        <is>
          <t>Sheet Vi_du_Date: xem B2:G5 (EOMONTH, TEXT, Quý, Thứ, WEEKDAY).</t>
        </is>
      </c>
      <c r="C7" s="11" t="inlineStr">
        <is>
          <t>15/01/2025 → cuối tháng 31/01/2025, đầu tháng 01/01/2025, “01/2025”, Q1, thứ Tư (WEEKDAY = 3). 29/01/2025 (mùng 1 Tết) là thứ Tư. 28/02/2025 → cuối tháng 28/02/2025. 08/03/2025 là thứ Bảy (6).</t>
        </is>
      </c>
    </row>
    <row r="8">
      <c r="A8" s="11" t="n">
        <v>27</v>
      </c>
      <c r="B8" s="11" t="inlineStr">
        <is>
          <t>Khối NETWORKDAYS (A10:E12): cột D không tính ngày lễ, cột E trừ danh sách ngày lễ ở H10:H15.</t>
        </is>
      </c>
      <c r="C8" s="11" t="inlineStr">
        <is>
          <t>Tháng 1: 23 → 17 ngày; tháng 2: 20; tháng 3: 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0" workbookViewId="0">
      <selection activeCell="A1" sqref="A1"/>
    </sheetView>
  </sheetViews>
  <sheetFormatPr baseColWidth="8" defaultRowHeight="15" outlineLevelCol="0"/>
  <cols>
    <col width="15" customWidth="1" min="1" max="1"/>
    <col width="11" customWidth="1" min="2" max="2"/>
    <col width="24" customWidth="1" min="3" max="3"/>
    <col width="11" customWidth="1" min="4" max="4"/>
    <col width="11" customWidth="1" min="5" max="5"/>
    <col width="12" customWidth="1" min="6" max="6"/>
    <col width="14" customWidth="1" min="7" max="7"/>
    <col width="22" customWidth="1" min="8" max="8"/>
    <col width="30" customWidth="1" min="9" max="9"/>
    <col width="14" customWidth="1" min="10" max="10"/>
  </cols>
  <sheetData>
    <row r="1">
      <c r="A1" s="1" t="inlineStr">
        <is>
          <t>Order_ID</t>
        </is>
      </c>
      <c r="B1" s="1" t="inlineStr">
        <is>
          <t>Store_Code</t>
        </is>
      </c>
      <c r="C1" s="1" t="inlineStr">
        <is>
          <t>Store_Name (thô)</t>
        </is>
      </c>
      <c r="D1" s="1" t="inlineStr">
        <is>
          <t>Unit_Price</t>
        </is>
      </c>
      <c r="E1" s="1" t="inlineStr">
        <is>
          <t>Tiền tố LEFT</t>
        </is>
      </c>
      <c r="F1" s="1" t="inlineStr">
        <is>
          <t>Kỳ yymm MID</t>
        </is>
      </c>
      <c r="G1" s="1" t="inlineStr">
        <is>
          <t>Số thứ tự RIGHT</t>
        </is>
      </c>
      <c r="H1" s="1" t="inlineStr">
        <is>
          <t>TRIM tên</t>
        </is>
      </c>
      <c r="I1" s="1" t="inlineStr">
        <is>
          <t>Nhãn ghép &amp;</t>
        </is>
      </c>
      <c r="J1" s="1" t="inlineStr">
        <is>
          <t>TEXT giá</t>
        </is>
      </c>
    </row>
    <row r="2">
      <c r="A2" s="2" t="inlineStr">
        <is>
          <t>HD2501-00001</t>
        </is>
      </c>
      <c r="B2" s="2" t="inlineStr">
        <is>
          <t>ST01</t>
        </is>
      </c>
      <c r="C2" s="2" t="inlineStr">
        <is>
          <t xml:space="preserve">  MCI Mart   Cầu Giấy</t>
        </is>
      </c>
      <c r="D2" s="3" t="n">
        <v>19000</v>
      </c>
      <c r="E2" s="4">
        <f>LEFT(A2,2)</f>
        <v/>
      </c>
      <c r="F2" s="4">
        <f>MID(A2,3,4)</f>
        <v/>
      </c>
      <c r="G2" s="4">
        <f>RIGHT(A2,5)</f>
        <v/>
      </c>
      <c r="H2" s="4">
        <f>TRIM(C2)</f>
        <v/>
      </c>
      <c r="I2" s="4">
        <f>B2&amp;" – "&amp;TRIM(C2)</f>
        <v/>
      </c>
      <c r="J2" s="4">
        <f>TEXT(D2,"#,##0")&amp;" đ"</f>
        <v/>
      </c>
    </row>
    <row r="3">
      <c r="A3" s="2" t="inlineStr">
        <is>
          <t>HD2501-00008</t>
        </is>
      </c>
      <c r="B3" s="2" t="inlineStr">
        <is>
          <t>ST02</t>
        </is>
      </c>
      <c r="C3" s="2" t="inlineStr">
        <is>
          <t xml:space="preserve">MCI Mart Hoàn Kiếm  </t>
        </is>
      </c>
      <c r="D3" s="3" t="n">
        <v>42000</v>
      </c>
      <c r="E3" s="4">
        <f>LEFT(A3,2)</f>
        <v/>
      </c>
      <c r="F3" s="4">
        <f>MID(A3,3,4)</f>
        <v/>
      </c>
      <c r="G3" s="4">
        <f>RIGHT(A3,5)</f>
        <v/>
      </c>
      <c r="H3" s="4">
        <f>TRIM(C3)</f>
        <v/>
      </c>
      <c r="I3" s="4">
        <f>B3&amp;" – "&amp;TRIM(C3)</f>
        <v/>
      </c>
      <c r="J3" s="4">
        <f>TEXT(D3,"#,##0")&amp;" đ"</f>
        <v/>
      </c>
    </row>
    <row r="4">
      <c r="A4" s="2" t="inlineStr">
        <is>
          <t>HD2501-00010</t>
        </is>
      </c>
      <c r="B4" s="2" t="inlineStr">
        <is>
          <t>ST03</t>
        </is>
      </c>
      <c r="C4" s="2" t="inlineStr">
        <is>
          <t>MCI Mart  Hải Phòng</t>
        </is>
      </c>
      <c r="D4" s="3" t="n">
        <v>19000</v>
      </c>
      <c r="E4" s="4">
        <f>LEFT(A4,2)</f>
        <v/>
      </c>
      <c r="F4" s="4">
        <f>MID(A4,3,4)</f>
        <v/>
      </c>
      <c r="G4" s="4">
        <f>RIGHT(A4,5)</f>
        <v/>
      </c>
      <c r="H4" s="4">
        <f>TRIM(C4)</f>
        <v/>
      </c>
      <c r="I4" s="4">
        <f>B4&amp;" – "&amp;TRIM(C4)</f>
        <v/>
      </c>
      <c r="J4" s="4">
        <f>TEXT(D4,"#,##0")&amp;" đ"</f>
        <v/>
      </c>
    </row>
    <row r="5">
      <c r="A5" s="2" t="inlineStr">
        <is>
          <t>HD2501-00040</t>
        </is>
      </c>
      <c r="B5" s="2" t="inlineStr">
        <is>
          <t>ST04</t>
        </is>
      </c>
      <c r="C5" s="2" t="inlineStr">
        <is>
          <t xml:space="preserve"> MCI Mart Hạ Long</t>
        </is>
      </c>
      <c r="D5" s="3" t="n">
        <v>89000</v>
      </c>
      <c r="E5" s="4">
        <f>LEFT(A5,2)</f>
        <v/>
      </c>
      <c r="F5" s="4">
        <f>MID(A5,3,4)</f>
        <v/>
      </c>
      <c r="G5" s="4">
        <f>RIGHT(A5,5)</f>
        <v/>
      </c>
      <c r="H5" s="4">
        <f>TRIM(C5)</f>
        <v/>
      </c>
      <c r="I5" s="4">
        <f>B5&amp;" – "&amp;TRIM(C5)</f>
        <v/>
      </c>
      <c r="J5" s="4">
        <f>TEXT(D5,"#,##0")&amp;" đ"</f>
        <v/>
      </c>
    </row>
    <row r="6">
      <c r="A6" s="2" t="inlineStr">
        <is>
          <t>HD2501-00013</t>
        </is>
      </c>
      <c r="B6" s="2" t="inlineStr">
        <is>
          <t>ST05</t>
        </is>
      </c>
      <c r="C6" s="2" t="inlineStr">
        <is>
          <t xml:space="preserve">MCI Mart   Hải Châu </t>
        </is>
      </c>
      <c r="D6" s="3" t="n">
        <v>145000</v>
      </c>
      <c r="E6" s="4">
        <f>LEFT(A6,2)</f>
        <v/>
      </c>
      <c r="F6" s="4">
        <f>MID(A6,3,4)</f>
        <v/>
      </c>
      <c r="G6" s="4">
        <f>RIGHT(A6,5)</f>
        <v/>
      </c>
      <c r="H6" s="4">
        <f>TRIM(C6)</f>
        <v/>
      </c>
      <c r="I6" s="4">
        <f>B6&amp;" – "&amp;TRIM(C6)</f>
        <v/>
      </c>
      <c r="J6" s="4">
        <f>TEXT(D6,"#,##0")&amp;" đ"</f>
        <v/>
      </c>
    </row>
    <row r="7">
      <c r="A7" s="2" t="inlineStr">
        <is>
          <t>HD2501-00044</t>
        </is>
      </c>
      <c r="B7" s="2" t="inlineStr">
        <is>
          <t>ST06</t>
        </is>
      </c>
      <c r="C7" s="2" t="inlineStr">
        <is>
          <t>MCI Mart Huế</t>
        </is>
      </c>
      <c r="D7" s="3" t="n">
        <v>345000</v>
      </c>
      <c r="E7" s="4">
        <f>LEFT(A7,2)</f>
        <v/>
      </c>
      <c r="F7" s="4">
        <f>MID(A7,3,4)</f>
        <v/>
      </c>
      <c r="G7" s="4">
        <f>RIGHT(A7,5)</f>
        <v/>
      </c>
      <c r="H7" s="4">
        <f>TRIM(C7)</f>
        <v/>
      </c>
      <c r="I7" s="4">
        <f>B7&amp;" – "&amp;TRIM(C7)</f>
        <v/>
      </c>
      <c r="J7" s="4">
        <f>TEXT(D7,"#,##0")&amp;" đ"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0" workbookViewId="0">
      <selection activeCell="A1" sqref="A1"/>
    </sheetView>
  </sheetViews>
  <sheetFormatPr baseColWidth="8" defaultRowHeight="15" outlineLevelCol="0"/>
  <cols>
    <col width="13" customWidth="1" min="1" max="1"/>
    <col width="20" customWidth="1" min="2" max="2"/>
    <col width="22" customWidth="1" min="3" max="3"/>
    <col width="18" customWidth="1" min="4" max="4"/>
    <col width="8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Order_Date</t>
        </is>
      </c>
      <c r="B1" s="1" t="inlineStr">
        <is>
          <t>Cuối tháng EOMONTH(,0)</t>
        </is>
      </c>
      <c r="C1" s="1" t="inlineStr">
        <is>
          <t>Đầu tháng EOMONTH(,-1)+1</t>
        </is>
      </c>
      <c r="D1" s="1" t="inlineStr">
        <is>
          <t>Tháng TEXT mm/yyyy</t>
        </is>
      </c>
      <c r="E1" s="1" t="inlineStr">
        <is>
          <t>Quý</t>
        </is>
      </c>
      <c r="F1" s="1" t="inlineStr">
        <is>
          <t>Thứ TEXT ddd</t>
        </is>
      </c>
      <c r="G1" s="1" t="inlineStr">
        <is>
          <t>WEEKDAY(,2)</t>
        </is>
      </c>
    </row>
    <row r="2">
      <c r="A2" s="5" t="n">
        <v>45672</v>
      </c>
      <c r="B2" s="6">
        <f>EOMONTH(A2,0)</f>
        <v/>
      </c>
      <c r="C2" s="6">
        <f>EOMONTH(A2,-1)+1</f>
        <v/>
      </c>
      <c r="D2" s="4">
        <f>TEXT(A2,"mm/yyyy")</f>
        <v/>
      </c>
      <c r="E2" s="4">
        <f>"Q"&amp;ROUNDUP(MONTH(A2)/3,0)</f>
        <v/>
      </c>
      <c r="F2" s="4">
        <f>TEXT(A2,"ddd")</f>
        <v/>
      </c>
      <c r="G2" s="7">
        <f>WEEKDAY(A2,2)</f>
        <v/>
      </c>
    </row>
    <row r="3">
      <c r="A3" s="5" t="n">
        <v>45686</v>
      </c>
      <c r="B3" s="6">
        <f>EOMONTH(A3,0)</f>
        <v/>
      </c>
      <c r="C3" s="6">
        <f>EOMONTH(A3,-1)+1</f>
        <v/>
      </c>
      <c r="D3" s="4">
        <f>TEXT(A3,"mm/yyyy")</f>
        <v/>
      </c>
      <c r="E3" s="4">
        <f>"Q"&amp;ROUNDUP(MONTH(A3)/3,0)</f>
        <v/>
      </c>
      <c r="F3" s="4">
        <f>TEXT(A3,"ddd")</f>
        <v/>
      </c>
      <c r="G3" s="7">
        <f>WEEKDAY(A3,2)</f>
        <v/>
      </c>
    </row>
    <row r="4">
      <c r="A4" s="5" t="n">
        <v>45716</v>
      </c>
      <c r="B4" s="6">
        <f>EOMONTH(A4,0)</f>
        <v/>
      </c>
      <c r="C4" s="6">
        <f>EOMONTH(A4,-1)+1</f>
        <v/>
      </c>
      <c r="D4" s="4">
        <f>TEXT(A4,"mm/yyyy")</f>
        <v/>
      </c>
      <c r="E4" s="4">
        <f>"Q"&amp;ROUNDUP(MONTH(A4)/3,0)</f>
        <v/>
      </c>
      <c r="F4" s="4">
        <f>TEXT(A4,"ddd")</f>
        <v/>
      </c>
      <c r="G4" s="7">
        <f>WEEKDAY(A4,2)</f>
        <v/>
      </c>
    </row>
    <row r="5">
      <c r="A5" s="5" t="n">
        <v>45724</v>
      </c>
      <c r="B5" s="6">
        <f>EOMONTH(A5,0)</f>
        <v/>
      </c>
      <c r="C5" s="6">
        <f>EOMONTH(A5,-1)+1</f>
        <v/>
      </c>
      <c r="D5" s="4">
        <f>TEXT(A5,"mm/yyyy")</f>
        <v/>
      </c>
      <c r="E5" s="4">
        <f>"Q"&amp;ROUNDUP(MONTH(A5)/3,0)</f>
        <v/>
      </c>
      <c r="F5" s="4">
        <f>TEXT(A5,"ddd")</f>
        <v/>
      </c>
      <c r="G5" s="7">
        <f>WEEKDAY(A5,2)</f>
        <v/>
      </c>
    </row>
    <row r="8">
      <c r="A8" s="8" t="inlineStr">
        <is>
          <t>NGÀY LÀM VIỆC TRONG THÁNG (NETWORKDAYS)</t>
        </is>
      </c>
    </row>
    <row r="9">
      <c r="A9" s="1" t="inlineStr">
        <is>
          <t>Tháng</t>
        </is>
      </c>
      <c r="B9" s="1" t="inlineStr">
        <is>
          <t>Từ ngày</t>
        </is>
      </c>
      <c r="C9" s="1" t="inlineStr">
        <is>
          <t>Đến ngày</t>
        </is>
      </c>
      <c r="D9" s="1" t="inlineStr">
        <is>
          <t>Ngày làm việc</t>
        </is>
      </c>
      <c r="E9" s="1" t="inlineStr">
        <is>
          <t>Trừ ngày lễ</t>
        </is>
      </c>
      <c r="H9" s="1" t="inlineStr">
        <is>
          <t>Ngày lễ 2025 (Tết Dương lịch, nghỉ Tết Âm lịch)</t>
        </is>
      </c>
    </row>
    <row r="10">
      <c r="A10" s="9" t="n">
        <v>1</v>
      </c>
      <c r="B10" s="6">
        <f>DATE(2025,A10,1)</f>
        <v/>
      </c>
      <c r="C10" s="6">
        <f>EOMONTH(B10,0)</f>
        <v/>
      </c>
      <c r="D10" s="4">
        <f>NETWORKDAYS(B10,C10)</f>
        <v/>
      </c>
      <c r="E10" s="4">
        <f>NETWORKDAYS(B10,C10,$H$10:$H$15)</f>
        <v/>
      </c>
      <c r="H10" s="5" t="n">
        <v>45658</v>
      </c>
    </row>
    <row r="11">
      <c r="A11" s="9" t="n">
        <v>2</v>
      </c>
      <c r="B11" s="6">
        <f>DATE(2025,A11,1)</f>
        <v/>
      </c>
      <c r="C11" s="6">
        <f>EOMONTH(B11,0)</f>
        <v/>
      </c>
      <c r="D11" s="4">
        <f>NETWORKDAYS(B11,C11)</f>
        <v/>
      </c>
      <c r="E11" s="4">
        <f>NETWORKDAYS(B11,C11,$H$10:$H$15)</f>
        <v/>
      </c>
      <c r="H11" s="5" t="n">
        <v>45684</v>
      </c>
    </row>
    <row r="12">
      <c r="A12" s="9" t="n">
        <v>3</v>
      </c>
      <c r="B12" s="6">
        <f>DATE(2025,A12,1)</f>
        <v/>
      </c>
      <c r="C12" s="6">
        <f>EOMONTH(B12,0)</f>
        <v/>
      </c>
      <c r="D12" s="4">
        <f>NETWORKDAYS(B12,C12)</f>
        <v/>
      </c>
      <c r="E12" s="4">
        <f>NETWORKDAYS(B12,C12,$H$10:$H$15)</f>
        <v/>
      </c>
      <c r="H12" s="5" t="n">
        <v>45685</v>
      </c>
    </row>
    <row r="13">
      <c r="H13" s="5" t="n">
        <v>45686</v>
      </c>
    </row>
    <row r="14">
      <c r="H14" s="5" t="n">
        <v>45687</v>
      </c>
    </row>
    <row r="15">
      <c r="H15" s="5" t="n">
        <v>45688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2026-09-27T06:05:51Z</dcterms:created>
  <dcterms:modified xmlns:dcterms="http://purl.org/dc/terms/" xmlns:xsi="http://www.w3.org/2001/XMLSchema-instance" xsi:type="dcterms:W3CDTF">2026-09-27T06:05:51Z</dcterms:modified>
</cp:coreProperties>
</file>