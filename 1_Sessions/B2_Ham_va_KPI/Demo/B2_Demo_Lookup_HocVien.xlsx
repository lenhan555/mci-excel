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0" documentId="11_F73BA940A78CA4C6AF678E1B29171C6BB099A18F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Huong_dan" sheetId="1" r:id="rId1"/>
    <sheet name="Product" sheetId="2" r:id="rId2"/>
    <sheet name="Vi_du_VLOOKUP" sheetId="3" r:id="rId3"/>
    <sheet name="Vi_du_XLOOKUP" sheetId="4" r:id="rId4"/>
    <sheet name="Vi_du_KhoaTrung" sheetId="5" r:id="rId5"/>
    <sheet name="Vi_du_KieuKho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6" l="1"/>
  <c r="C12" i="6"/>
  <c r="E11" i="6"/>
  <c r="C11" i="6"/>
  <c r="E10" i="6"/>
  <c r="C10" i="6"/>
  <c r="E9" i="6"/>
  <c r="C9" i="6"/>
  <c r="E151" i="5"/>
  <c r="F151" i="5" s="1"/>
  <c r="E150" i="5"/>
  <c r="F150" i="5" s="1"/>
  <c r="E149" i="5"/>
  <c r="F149" i="5" s="1"/>
  <c r="E148" i="5"/>
  <c r="F148" i="5" s="1"/>
  <c r="E147" i="5"/>
  <c r="F147" i="5" s="1"/>
  <c r="E146" i="5"/>
  <c r="F146" i="5" s="1"/>
  <c r="E145" i="5"/>
  <c r="F145" i="5" s="1"/>
  <c r="E144" i="5"/>
  <c r="F144" i="5" s="1"/>
  <c r="E143" i="5"/>
  <c r="F143" i="5" s="1"/>
  <c r="E142" i="5"/>
  <c r="F142" i="5" s="1"/>
  <c r="E141" i="5"/>
  <c r="F141" i="5" s="1"/>
  <c r="E140" i="5"/>
  <c r="F140" i="5" s="1"/>
  <c r="E139" i="5"/>
  <c r="F139" i="5" s="1"/>
  <c r="E138" i="5"/>
  <c r="F138" i="5" s="1"/>
  <c r="E137" i="5"/>
  <c r="F137" i="5" s="1"/>
  <c r="E136" i="5"/>
  <c r="F136" i="5" s="1"/>
  <c r="E135" i="5"/>
  <c r="F135" i="5" s="1"/>
  <c r="E134" i="5"/>
  <c r="F134" i="5" s="1"/>
  <c r="E133" i="5"/>
  <c r="F133" i="5" s="1"/>
  <c r="E132" i="5"/>
  <c r="F132" i="5" s="1"/>
  <c r="E131" i="5"/>
  <c r="F131" i="5" s="1"/>
  <c r="E130" i="5"/>
  <c r="F130" i="5" s="1"/>
  <c r="E129" i="5"/>
  <c r="F129" i="5" s="1"/>
  <c r="E128" i="5"/>
  <c r="F128" i="5" s="1"/>
  <c r="E127" i="5"/>
  <c r="F127" i="5" s="1"/>
  <c r="E126" i="5"/>
  <c r="F126" i="5" s="1"/>
  <c r="E125" i="5"/>
  <c r="F125" i="5" s="1"/>
  <c r="E124" i="5"/>
  <c r="F124" i="5" s="1"/>
  <c r="E123" i="5"/>
  <c r="F123" i="5" s="1"/>
  <c r="E122" i="5"/>
  <c r="F122" i="5" s="1"/>
  <c r="E121" i="5"/>
  <c r="F121" i="5" s="1"/>
  <c r="E120" i="5"/>
  <c r="F120" i="5" s="1"/>
  <c r="E119" i="5"/>
  <c r="F119" i="5" s="1"/>
  <c r="E118" i="5"/>
  <c r="F118" i="5" s="1"/>
  <c r="E117" i="5"/>
  <c r="F117" i="5" s="1"/>
  <c r="E116" i="5"/>
  <c r="F116" i="5" s="1"/>
  <c r="E115" i="5"/>
  <c r="F115" i="5" s="1"/>
  <c r="E114" i="5"/>
  <c r="F114" i="5" s="1"/>
  <c r="E113" i="5"/>
  <c r="F113" i="5" s="1"/>
  <c r="E112" i="5"/>
  <c r="F112" i="5" s="1"/>
  <c r="E111" i="5"/>
  <c r="F111" i="5" s="1"/>
  <c r="E110" i="5"/>
  <c r="F110" i="5" s="1"/>
  <c r="E109" i="5"/>
  <c r="F109" i="5" s="1"/>
  <c r="E108" i="5"/>
  <c r="F108" i="5" s="1"/>
  <c r="E107" i="5"/>
  <c r="F107" i="5" s="1"/>
  <c r="E106" i="5"/>
  <c r="F106" i="5" s="1"/>
  <c r="E105" i="5"/>
  <c r="F105" i="5" s="1"/>
  <c r="E104" i="5"/>
  <c r="F104" i="5" s="1"/>
  <c r="E103" i="5"/>
  <c r="F103" i="5" s="1"/>
  <c r="E102" i="5"/>
  <c r="F102" i="5" s="1"/>
  <c r="E101" i="5"/>
  <c r="F101" i="5" s="1"/>
  <c r="E100" i="5"/>
  <c r="F100" i="5" s="1"/>
  <c r="E99" i="5"/>
  <c r="F99" i="5" s="1"/>
  <c r="E98" i="5"/>
  <c r="F98" i="5" s="1"/>
  <c r="E97" i="5"/>
  <c r="F97" i="5" s="1"/>
  <c r="E96" i="5"/>
  <c r="F96" i="5" s="1"/>
  <c r="E95" i="5"/>
  <c r="F95" i="5" s="1"/>
  <c r="E94" i="5"/>
  <c r="F94" i="5" s="1"/>
  <c r="E93" i="5"/>
  <c r="F93" i="5" s="1"/>
  <c r="E92" i="5"/>
  <c r="F92" i="5" s="1"/>
  <c r="E91" i="5"/>
  <c r="F91" i="5" s="1"/>
  <c r="E90" i="5"/>
  <c r="F90" i="5" s="1"/>
  <c r="E89" i="5"/>
  <c r="F89" i="5" s="1"/>
  <c r="E88" i="5"/>
  <c r="F88" i="5" s="1"/>
  <c r="E87" i="5"/>
  <c r="F87" i="5" s="1"/>
  <c r="E86" i="5"/>
  <c r="F86" i="5" s="1"/>
  <c r="E85" i="5"/>
  <c r="F85" i="5" s="1"/>
  <c r="E84" i="5"/>
  <c r="F84" i="5" s="1"/>
  <c r="E83" i="5"/>
  <c r="F83" i="5" s="1"/>
  <c r="E82" i="5"/>
  <c r="F82" i="5" s="1"/>
  <c r="E81" i="5"/>
  <c r="F81" i="5" s="1"/>
  <c r="E80" i="5"/>
  <c r="F80" i="5" s="1"/>
  <c r="E79" i="5"/>
  <c r="F79" i="5" s="1"/>
  <c r="E78" i="5"/>
  <c r="F78" i="5" s="1"/>
  <c r="E77" i="5"/>
  <c r="F77" i="5" s="1"/>
  <c r="E76" i="5"/>
  <c r="F76" i="5" s="1"/>
  <c r="E75" i="5"/>
  <c r="F75" i="5" s="1"/>
  <c r="E74" i="5"/>
  <c r="F74" i="5" s="1"/>
  <c r="E73" i="5"/>
  <c r="F73" i="5" s="1"/>
  <c r="E72" i="5"/>
  <c r="F72" i="5" s="1"/>
  <c r="E71" i="5"/>
  <c r="F71" i="5" s="1"/>
  <c r="E70" i="5"/>
  <c r="F70" i="5" s="1"/>
  <c r="E69" i="5"/>
  <c r="F69" i="5" s="1"/>
  <c r="E68" i="5"/>
  <c r="F68" i="5" s="1"/>
  <c r="E67" i="5"/>
  <c r="F67" i="5" s="1"/>
  <c r="E66" i="5"/>
  <c r="F66" i="5" s="1"/>
  <c r="E65" i="5"/>
  <c r="F65" i="5" s="1"/>
  <c r="E64" i="5"/>
  <c r="F64" i="5" s="1"/>
  <c r="E63" i="5"/>
  <c r="F63" i="5" s="1"/>
  <c r="E62" i="5"/>
  <c r="F62" i="5" s="1"/>
  <c r="E61" i="5"/>
  <c r="F61" i="5" s="1"/>
  <c r="E60" i="5"/>
  <c r="F60" i="5" s="1"/>
  <c r="E59" i="5"/>
  <c r="F59" i="5" s="1"/>
  <c r="E58" i="5"/>
  <c r="F58" i="5" s="1"/>
  <c r="E57" i="5"/>
  <c r="F57" i="5" s="1"/>
  <c r="E56" i="5"/>
  <c r="F56" i="5" s="1"/>
  <c r="E55" i="5"/>
  <c r="F55" i="5" s="1"/>
  <c r="E54" i="5"/>
  <c r="F54" i="5" s="1"/>
  <c r="E53" i="5"/>
  <c r="F53" i="5" s="1"/>
  <c r="E52" i="5"/>
  <c r="F52" i="5" s="1"/>
  <c r="E51" i="5"/>
  <c r="F51" i="5" s="1"/>
  <c r="E50" i="5"/>
  <c r="F50" i="5" s="1"/>
  <c r="E49" i="5"/>
  <c r="F49" i="5" s="1"/>
  <c r="E48" i="5"/>
  <c r="F48" i="5" s="1"/>
  <c r="E47" i="5"/>
  <c r="F47" i="5" s="1"/>
  <c r="E46" i="5"/>
  <c r="F46" i="5" s="1"/>
  <c r="E45" i="5"/>
  <c r="F45" i="5" s="1"/>
  <c r="E44" i="5"/>
  <c r="F44" i="5" s="1"/>
  <c r="E43" i="5"/>
  <c r="F43" i="5" s="1"/>
  <c r="E42" i="5"/>
  <c r="F42" i="5" s="1"/>
  <c r="E41" i="5"/>
  <c r="F41" i="5" s="1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18" i="5"/>
  <c r="F18" i="5" s="1"/>
  <c r="E17" i="5"/>
  <c r="F17" i="5" s="1"/>
  <c r="E16" i="5"/>
  <c r="F16" i="5" s="1"/>
  <c r="E15" i="5"/>
  <c r="F15" i="5" s="1"/>
  <c r="E14" i="5"/>
  <c r="F14" i="5" s="1"/>
  <c r="E13" i="5"/>
  <c r="F13" i="5" s="1"/>
  <c r="E12" i="5"/>
  <c r="F12" i="5" s="1"/>
  <c r="E11" i="5"/>
  <c r="F11" i="5" s="1"/>
  <c r="E10" i="5"/>
  <c r="F10" i="5" s="1"/>
  <c r="E9" i="5"/>
  <c r="F9" i="5" s="1"/>
  <c r="D6" i="5"/>
  <c r="D4" i="5"/>
  <c r="D3" i="5"/>
  <c r="C7" i="4"/>
  <c r="B7" i="4"/>
  <c r="C6" i="4"/>
  <c r="B6" i="4"/>
  <c r="C5" i="4"/>
  <c r="B5" i="4"/>
  <c r="F4" i="4"/>
  <c r="C4" i="4"/>
  <c r="B4" i="4"/>
  <c r="F3" i="4"/>
  <c r="C3" i="4"/>
  <c r="B3" i="4"/>
  <c r="F2" i="4"/>
  <c r="C2" i="4"/>
  <c r="B2" i="4"/>
  <c r="C7" i="3"/>
  <c r="B7" i="3"/>
  <c r="C6" i="3"/>
  <c r="B6" i="3"/>
  <c r="C5" i="3"/>
  <c r="B5" i="3"/>
  <c r="C4" i="3"/>
  <c r="B4" i="3"/>
  <c r="C3" i="3"/>
  <c r="B3" i="3"/>
  <c r="C2" i="3"/>
  <c r="B2" i="3"/>
  <c r="D5" i="5" l="1"/>
</calcChain>
</file>

<file path=xl/sharedStrings.xml><?xml version="1.0" encoding="utf-8"?>
<sst xmlns="http://schemas.openxmlformats.org/spreadsheetml/2006/main" count="490" uniqueCount="295">
  <si>
    <t>VÍ DỤ B2 — VLOOKUP → INDEX/MATCH → XLOOKUP, LAWS OF LOOKUPS (slide 20–24)</t>
  </si>
  <si>
    <t>Slide</t>
  </si>
  <si>
    <t>Thao tác</t>
  </si>
  <si>
    <t>Kết quả mong đợi</t>
  </si>
  <si>
    <t>Sheet Vi_du_VLOOKUP: so cột B (FALSE) và cột C (bỏ trống range_lookup). Chú ý dòng P041 và P21.</t>
  </si>
  <si>
    <t>Cột B: P041, P21 ra #N/A (đúng: không có mã). Cột C: cả hai ra 71.500 — giá vốn của P040, sai mà không báo lỗi.</t>
  </si>
  <si>
    <t>Sheet Vi_du_XLOOKUP, cột B: =INDEX(cột Unit_Cost, MATCH(A2, cột Product_Code, 0)).</t>
  </si>
  <si>
    <t>Kết quả giống cột B của Vi_du_VLOOKUP; P041, P21 ra #N/A.</t>
  </si>
  <si>
    <t>Cột C: =XLOOKUP(A2, cột Product_Code, cột Unit_Cost, "Không có mã"). Cột F: tra ngược từ Product_Name ra mã (cột trả về nằm bên trái).</t>
  </si>
  <si>
    <t>P005 = 83.500; P041, P21 hiện “Không có mã”. F2:F4 = P014, P039, P027.</t>
  </si>
  <si>
    <t>Sheet Vi_du_KhoaTrung. Xem cột E (XLOOKUP Unit_Cost của P021) và ô D3:D6. Sang sheet Product, xem dòng 22–23.</t>
  </si>
  <si>
    <t>143 dòng P021 đều lấy Unit_Cost 62.000 (bản ghi cũ đứng trước). D3 = 2, D4 = 2. COGS P021 = 15.872.000 thay vì 17.664.000 (thiếu 1.792.000).</t>
  </si>
  <si>
    <t>Sửa: ở sheet Product xóa dòng 22 (bản ghi “mã cũ – ngừng KD 2024”). Quay lại Vi_du_KhoaTrung.</t>
  </si>
  <si>
    <t>Cột E thành 69.000; D5 = D6 = 17.664.000; D3 = 1, D4 = 0.</t>
  </si>
  <si>
    <t>Sheet Vi_du_KieuKhoa: xem cột C (tra thẳng) và cột E (sau khi sửa bằng VALUE / TRIM). Gõ =LEN(A11) ở một ô trống.</t>
  </si>
  <si>
    <t>C9, C11, C12 ra #N/A; E9:E12 ra Bắc, Trung, Cà phê rang xay 500g, Mì ăn liền tôm chua cay (thùng 30 gói). LEN(A11) = 5.</t>
  </si>
  <si>
    <t>Product_Code</t>
  </si>
  <si>
    <t>Product_Name</t>
  </si>
  <si>
    <t>Category</t>
  </si>
  <si>
    <t>Unit_Price</t>
  </si>
  <si>
    <t>Unit_Cost</t>
  </si>
  <si>
    <t>P001</t>
  </si>
  <si>
    <t>Nước suối 500ml (lốc 6 chai)</t>
  </si>
  <si>
    <t>Đồ uống</t>
  </si>
  <si>
    <t>P002</t>
  </si>
  <si>
    <t>Nước ngọt có ga 330ml (lốc 6 lon)</t>
  </si>
  <si>
    <t>P003</t>
  </si>
  <si>
    <t>Trà xanh đóng chai 455ml</t>
  </si>
  <si>
    <t>P004</t>
  </si>
  <si>
    <t>Cà phê hòa tan 3in1 (hộp 20 gói)</t>
  </si>
  <si>
    <t>P005</t>
  </si>
  <si>
    <t>Cà phê rang xay 500g</t>
  </si>
  <si>
    <t>P006</t>
  </si>
  <si>
    <t>Nước ép trái cây 1L</t>
  </si>
  <si>
    <t>P007</t>
  </si>
  <si>
    <t>Bia lon 330ml (thùng 24 lon)</t>
  </si>
  <si>
    <t>P008</t>
  </si>
  <si>
    <t>Sữa tươi tiệt trùng 1L</t>
  </si>
  <si>
    <t>Sữa</t>
  </si>
  <si>
    <t>P009</t>
  </si>
  <si>
    <t>Sữa tươi 180ml (lốc 4 hộp)</t>
  </si>
  <si>
    <t>P010</t>
  </si>
  <si>
    <t>Sữa chua ăn (lốc 4 hộp)</t>
  </si>
  <si>
    <t>P011</t>
  </si>
  <si>
    <t>Sữa bột trẻ em 800g</t>
  </si>
  <si>
    <t>P012</t>
  </si>
  <si>
    <t>Sữa đặc có đường 380g</t>
  </si>
  <si>
    <t>P013</t>
  </si>
  <si>
    <t>Mì ăn liền tôm chua cay (thùng 30 gói)</t>
  </si>
  <si>
    <t>Thực phẩm khô</t>
  </si>
  <si>
    <t>P014</t>
  </si>
  <si>
    <t>Gạo thơm 5kg</t>
  </si>
  <si>
    <t>P015</t>
  </si>
  <si>
    <t>Dầu ăn thực vật 1L</t>
  </si>
  <si>
    <t>P016</t>
  </si>
  <si>
    <t>Nước mắm 500ml</t>
  </si>
  <si>
    <t>P017</t>
  </si>
  <si>
    <t>Đường trắng 1kg</t>
  </si>
  <si>
    <t>P018</t>
  </si>
  <si>
    <t>Hạt nêm 400g</t>
  </si>
  <si>
    <t>P019</t>
  </si>
  <si>
    <t>Bún khô 500g</t>
  </si>
  <si>
    <t>P020</t>
  </si>
  <si>
    <t>Cá hộp sốt cà 155g</t>
  </si>
  <si>
    <t>P021</t>
  </si>
  <si>
    <t>Bánh quy bơ hộp thiếc 454g (mã cũ – ngừng KD 2024)</t>
  </si>
  <si>
    <t>Bánh kẹo</t>
  </si>
  <si>
    <t>Bánh quy bơ hộp thiếc 454g</t>
  </si>
  <si>
    <t>P022</t>
  </si>
  <si>
    <t>Kẹo trái cây hộp 250g</t>
  </si>
  <si>
    <t>P023</t>
  </si>
  <si>
    <t>Hạt điều rang muối 500g</t>
  </si>
  <si>
    <t>P024</t>
  </si>
  <si>
    <t>Mứt Tết thập cẩm 500g</t>
  </si>
  <si>
    <t>P025</t>
  </si>
  <si>
    <t>Socola thanh 100g</t>
  </si>
  <si>
    <t>P026</t>
  </si>
  <si>
    <t>Bánh snack khoai tây 90g</t>
  </si>
  <si>
    <t>P027</t>
  </si>
  <si>
    <t>Hộp quà Tết cao cấp</t>
  </si>
  <si>
    <t>P028</t>
  </si>
  <si>
    <t>Dầu gội 650ml</t>
  </si>
  <si>
    <t>Chăm sóc cá nhân</t>
  </si>
  <si>
    <t>P029</t>
  </si>
  <si>
    <t>Sữa tắm 800ml</t>
  </si>
  <si>
    <t>P030</t>
  </si>
  <si>
    <t>Kem đánh răng 230g</t>
  </si>
  <si>
    <t>P031</t>
  </si>
  <si>
    <t>Bàn chải đánh răng (vỉ 2)</t>
  </si>
  <si>
    <t>P032</t>
  </si>
  <si>
    <t>Khăn giấy rút (lốc 4 gói)</t>
  </si>
  <si>
    <t>P033</t>
  </si>
  <si>
    <t>Nước rửa tay 500ml</t>
  </si>
  <si>
    <t>P034</t>
  </si>
  <si>
    <t>Bột giặt 3kg</t>
  </si>
  <si>
    <t>Gia dụng</t>
  </si>
  <si>
    <t>P035</t>
  </si>
  <si>
    <t>Nước rửa chén 750ml</t>
  </si>
  <si>
    <t>P036</t>
  </si>
  <si>
    <t>Nước lau sàn 1L</t>
  </si>
  <si>
    <t>P037</t>
  </si>
  <si>
    <t>Túi đựng rác (cuộn 3)</t>
  </si>
  <si>
    <t>P038</t>
  </si>
  <si>
    <t>Hộp đựng thực phẩm (bộ 3)</t>
  </si>
  <si>
    <t>P039</t>
  </si>
  <si>
    <t>Chảo chống dính 26cm</t>
  </si>
  <si>
    <t>P040</t>
  </si>
  <si>
    <t>Nước xả vải 1.6L</t>
  </si>
  <si>
    <t>VLOOKUP khớp chính xác (FALSE)</t>
  </si>
  <si>
    <t>VLOOKUP bỏ trống range_lookup</t>
  </si>
  <si>
    <t>Ghi chú</t>
  </si>
  <si>
    <t>P041</t>
  </si>
  <si>
    <t>Mã mới, chưa có trong danh mục</t>
  </si>
  <si>
    <t>P21</t>
  </si>
  <si>
    <t>Gõ thiếu số 0 (đúng là P021)</t>
  </si>
  <si>
    <t>INDEX / MATCH</t>
  </si>
  <si>
    <t>XLOOKUP (có if_not_found)</t>
  </si>
  <si>
    <t>Product_Name cần tra ngược</t>
  </si>
  <si>
    <t>Mã (XLOOKUP sang trái)</t>
  </si>
  <si>
    <t>LAWS OF LOOKUPS — KHÓA PHẢI DUY NHẤT</t>
  </si>
  <si>
    <t>Số lần P021 xuất hiện trong Product</t>
  </si>
  <si>
    <t>Số dòng có mã bị trùng trong Product</t>
  </si>
  <si>
    <t>Tổng COGS của P021 (theo cột F bên dưới)</t>
  </si>
  <si>
    <t>Tổng COGS đúng (Unit_Cost 69.000)</t>
  </si>
  <si>
    <t>Order_ID</t>
  </si>
  <si>
    <t>Line_No</t>
  </si>
  <si>
    <t>Quantity</t>
  </si>
  <si>
    <t>Unit_Cost (XLOOKUP)</t>
  </si>
  <si>
    <t>COGS</t>
  </si>
  <si>
    <t>HD2501-00098</t>
  </si>
  <si>
    <t>HD2501-00281</t>
  </si>
  <si>
    <t>HD2501-00283</t>
  </si>
  <si>
    <t>HD2501-00381</t>
  </si>
  <si>
    <t>HD2501-00398</t>
  </si>
  <si>
    <t>HD2501-00458</t>
  </si>
  <si>
    <t>HD2501-00512</t>
  </si>
  <si>
    <t>HD2501-00630</t>
  </si>
  <si>
    <t>HD2501-00688</t>
  </si>
  <si>
    <t>HD2501-00738</t>
  </si>
  <si>
    <t>HD2501-00747</t>
  </si>
  <si>
    <t>HD2501-00752</t>
  </si>
  <si>
    <t>HD2501-00802</t>
  </si>
  <si>
    <t>HD2501-00852</t>
  </si>
  <si>
    <t>HD2501-00856</t>
  </si>
  <si>
    <t>HD2501-00911</t>
  </si>
  <si>
    <t>HD2501-01042</t>
  </si>
  <si>
    <t>HD2501-01081</t>
  </si>
  <si>
    <t>HD2501-01135</t>
  </si>
  <si>
    <t>HD2501-01138</t>
  </si>
  <si>
    <t>HD2501-01139</t>
  </si>
  <si>
    <t>HD2501-01152</t>
  </si>
  <si>
    <t>HD2501-01200</t>
  </si>
  <si>
    <t>HD2501-01327</t>
  </si>
  <si>
    <t>HD2501-01376</t>
  </si>
  <si>
    <t>HD2502-00112</t>
  </si>
  <si>
    <t>HD2502-00167</t>
  </si>
  <si>
    <t>HD2502-00193</t>
  </si>
  <si>
    <t>HD2502-00286</t>
  </si>
  <si>
    <t>HD2502-00407</t>
  </si>
  <si>
    <t>HD2502-00435</t>
  </si>
  <si>
    <t>HD2502-00508</t>
  </si>
  <si>
    <t>HD2502-00541</t>
  </si>
  <si>
    <t>HD2502-00602</t>
  </si>
  <si>
    <t>HD2502-00687</t>
  </si>
  <si>
    <t>HD2502-00741</t>
  </si>
  <si>
    <t>HD2502-00749</t>
  </si>
  <si>
    <t>HD2503-00042</t>
  </si>
  <si>
    <t>HD2503-00201</t>
  </si>
  <si>
    <t>HD2503-00346</t>
  </si>
  <si>
    <t>HD2503-00347</t>
  </si>
  <si>
    <t>HD2503-00633</t>
  </si>
  <si>
    <t>HD2501-00115</t>
  </si>
  <si>
    <t>HD2501-00180</t>
  </si>
  <si>
    <t>HD2501-00410</t>
  </si>
  <si>
    <t>HD2501-00531</t>
  </si>
  <si>
    <t>HD2501-00540</t>
  </si>
  <si>
    <t>HD2501-00592</t>
  </si>
  <si>
    <t>HD2501-00754</t>
  </si>
  <si>
    <t>HD2501-00756</t>
  </si>
  <si>
    <t>HD2501-00763</t>
  </si>
  <si>
    <t>HD2501-00818</t>
  </si>
  <si>
    <t>HD2501-00917</t>
  </si>
  <si>
    <t>HD2501-00967</t>
  </si>
  <si>
    <t>HD2501-01048</t>
  </si>
  <si>
    <t>HD2501-01095</t>
  </si>
  <si>
    <t>HD2502-00296</t>
  </si>
  <si>
    <t>HD2502-00369</t>
  </si>
  <si>
    <t>HD2502-00572</t>
  </si>
  <si>
    <t>HD2502-00610</t>
  </si>
  <si>
    <t>HD2502-00691</t>
  </si>
  <si>
    <t>HD2503-00210</t>
  </si>
  <si>
    <t>HD2503-00483</t>
  </si>
  <si>
    <t>HD2503-00533</t>
  </si>
  <si>
    <t>HD2503-00553</t>
  </si>
  <si>
    <t>HD2503-00611</t>
  </si>
  <si>
    <t>HD2503-00655</t>
  </si>
  <si>
    <t>HD2503-00765</t>
  </si>
  <si>
    <t>HD2503-00909</t>
  </si>
  <si>
    <t>HD2501-00019</t>
  </si>
  <si>
    <t>HD2501-00025</t>
  </si>
  <si>
    <t>HD2501-00060</t>
  </si>
  <si>
    <t>HD2501-00141</t>
  </si>
  <si>
    <t>HD2501-00164</t>
  </si>
  <si>
    <t>HD2501-00310</t>
  </si>
  <si>
    <t>HD2501-00313</t>
  </si>
  <si>
    <t>HD2501-00354</t>
  </si>
  <si>
    <t>HD2501-00358</t>
  </si>
  <si>
    <t>HD2501-00484</t>
  </si>
  <si>
    <t>HD2501-00545</t>
  </si>
  <si>
    <t>HD2501-00549</t>
  </si>
  <si>
    <t>HD2501-00559</t>
  </si>
  <si>
    <t>HD2501-00604</t>
  </si>
  <si>
    <t>HD2501-00611</t>
  </si>
  <si>
    <t>HD2501-00670</t>
  </si>
  <si>
    <t>HD2501-00671</t>
  </si>
  <si>
    <t>HD2501-00672</t>
  </si>
  <si>
    <t>HD2501-00678</t>
  </si>
  <si>
    <t>HD2501-00722</t>
  </si>
  <si>
    <t>HD2501-00837</t>
  </si>
  <si>
    <t>HD2501-00838</t>
  </si>
  <si>
    <t>HD2501-00841</t>
  </si>
  <si>
    <t>HD2501-00887</t>
  </si>
  <si>
    <t>HD2501-00893</t>
  </si>
  <si>
    <t>HD2501-00898</t>
  </si>
  <si>
    <t>HD2501-00973</t>
  </si>
  <si>
    <t>HD2501-00974</t>
  </si>
  <si>
    <t>HD2501-01022</t>
  </si>
  <si>
    <t>HD2501-01027</t>
  </si>
  <si>
    <t>HD2501-01053</t>
  </si>
  <si>
    <t>HD2501-01121</t>
  </si>
  <si>
    <t>HD2501-01175</t>
  </si>
  <si>
    <t>HD2501-01184</t>
  </si>
  <si>
    <t>HD2501-01195</t>
  </si>
  <si>
    <t>HD2501-01199</t>
  </si>
  <si>
    <t>HD2501-01233</t>
  </si>
  <si>
    <t>HD2501-01249</t>
  </si>
  <si>
    <t>HD2501-01281</t>
  </si>
  <si>
    <t>HD2501-01286</t>
  </si>
  <si>
    <t>HD2501-01357</t>
  </si>
  <si>
    <t>HD2501-01363</t>
  </si>
  <si>
    <t>HD2502-00050</t>
  </si>
  <si>
    <t>HD2502-00078</t>
  </si>
  <si>
    <t>HD2502-00147</t>
  </si>
  <si>
    <t>HD2502-00281</t>
  </si>
  <si>
    <t>HD2502-00302</t>
  </si>
  <si>
    <t>HD2502-00331</t>
  </si>
  <si>
    <t>HD2502-00332</t>
  </si>
  <si>
    <t>HD2502-00382</t>
  </si>
  <si>
    <t>HD2502-00385</t>
  </si>
  <si>
    <t>HD2502-00389</t>
  </si>
  <si>
    <t>HD2502-00454</t>
  </si>
  <si>
    <t>HD2502-00465</t>
  </si>
  <si>
    <t>HD2502-00471</t>
  </si>
  <si>
    <t>HD2502-00556</t>
  </si>
  <si>
    <t>HD2502-00635</t>
  </si>
  <si>
    <t>HD2502-00707</t>
  </si>
  <si>
    <t>HD2502-00758</t>
  </si>
  <si>
    <t>HD2503-00013</t>
  </si>
  <si>
    <t>HD2503-00051</t>
  </si>
  <si>
    <t>HD2503-00107</t>
  </si>
  <si>
    <t>HD2503-00126</t>
  </si>
  <si>
    <t>HD2503-00134</t>
  </si>
  <si>
    <t>HD2503-00157</t>
  </si>
  <si>
    <t>HD2503-00493</t>
  </si>
  <si>
    <t>HD2503-00543</t>
  </si>
  <si>
    <t>HD2503-00680</t>
  </si>
  <si>
    <t>HD2503-00700</t>
  </si>
  <si>
    <t>HD2503-00849</t>
  </si>
  <si>
    <t>HD2503-00892</t>
  </si>
  <si>
    <t>HD2503-00911</t>
  </si>
  <si>
    <t>HD2503-00912</t>
  </si>
  <si>
    <t>HD2503-00916</t>
  </si>
  <si>
    <t>KHÓA NHÌN GIỐNG NHAU NHƯNG KHÁC KIỂU</t>
  </si>
  <si>
    <t>Mã vùng (số)</t>
  </si>
  <si>
    <t>Tên vùng</t>
  </si>
  <si>
    <t>Bắc</t>
  </si>
  <si>
    <t>Trung</t>
  </si>
  <si>
    <t>Nam</t>
  </si>
  <si>
    <t>Giá trị tra</t>
  </si>
  <si>
    <t>Kiểu</t>
  </si>
  <si>
    <t>XLOOKUP thẳng</t>
  </si>
  <si>
    <t>Cách sửa</t>
  </si>
  <si>
    <t>XLOOKUP sau khi sửa</t>
  </si>
  <si>
    <t>1</t>
  </si>
  <si>
    <t>Text (số lưu dạng chữ, từ file CSV)</t>
  </si>
  <si>
    <t>VALUE(A9)</t>
  </si>
  <si>
    <t>Số</t>
  </si>
  <si>
    <t>—</t>
  </si>
  <si>
    <t xml:space="preserve">P005 </t>
  </si>
  <si>
    <t>Text có dấu cách thừa ở cuối</t>
  </si>
  <si>
    <t>TRIM(A11)</t>
  </si>
  <si>
    <t xml:space="preserve"> P013</t>
  </si>
  <si>
    <t>Text có dấu cách thừa ở đầu</t>
  </si>
  <si>
    <t>TRIM(A12)</t>
  </si>
  <si>
    <t>Kiểm tra độ dài: =LEN(A11) ra 5 thay vì 4 → có ký tự thừa.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</si>
</sst>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color rgb="FF585858"/>
      <name val="Arial"/>
      <family val="2"/>
    </font>
    <font>
      <b/>
      <sz val="14"/>
      <color rgb="FF203864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3" fontId="2" fillId="0" borderId="0" xfId="0" applyNumberFormat="1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3" fontId="6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6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ht="28" x14ac:dyDescent="0.2">
      <c r="A4" s="8">
        <v>20</v>
      </c>
      <c r="B4" s="8" t="s">
        <v>4</v>
      </c>
      <c r="C4" s="8" t="s">
        <v>5</v>
      </c>
    </row>
    <row r="5" spans="1:3" ht="28" x14ac:dyDescent="0.2">
      <c r="A5" s="8">
        <v>21</v>
      </c>
      <c r="B5" s="8" t="s">
        <v>6</v>
      </c>
      <c r="C5" s="8" t="s">
        <v>7</v>
      </c>
    </row>
    <row r="6" spans="1:3" ht="28" x14ac:dyDescent="0.2">
      <c r="A6" s="8">
        <v>22</v>
      </c>
      <c r="B6" s="8" t="s">
        <v>8</v>
      </c>
      <c r="C6" s="8" t="s">
        <v>9</v>
      </c>
    </row>
    <row r="7" spans="1:3" ht="42" x14ac:dyDescent="0.2">
      <c r="A7" s="8">
        <v>23</v>
      </c>
      <c r="B7" s="8" t="s">
        <v>10</v>
      </c>
      <c r="C7" s="8" t="s">
        <v>11</v>
      </c>
    </row>
    <row r="8" spans="1:3" ht="28" x14ac:dyDescent="0.2">
      <c r="A8" s="8">
        <v>23</v>
      </c>
      <c r="B8" s="8" t="s">
        <v>12</v>
      </c>
      <c r="C8" s="8" t="s">
        <v>13</v>
      </c>
    </row>
    <row r="9" spans="1:3" ht="42" x14ac:dyDescent="0.2">
      <c r="A9" s="8">
        <v>24</v>
      </c>
      <c r="B9" s="8" t="s">
        <v>14</v>
      </c>
      <c r="C9" s="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48" customWidth="1"/>
    <col min="3" max="3" width="18" customWidth="1"/>
    <col min="4" max="5" width="12" customWidth="1"/>
  </cols>
  <sheetData>
    <row r="1" spans="1:5" x14ac:dyDescent="0.2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">
      <c r="A2" s="2" t="s">
        <v>21</v>
      </c>
      <c r="B2" s="2" t="s">
        <v>22</v>
      </c>
      <c r="C2" s="2" t="s">
        <v>23</v>
      </c>
      <c r="D2" s="3">
        <v>32000</v>
      </c>
      <c r="E2" s="3">
        <v>23000</v>
      </c>
    </row>
    <row r="3" spans="1:5" x14ac:dyDescent="0.2">
      <c r="A3" s="2" t="s">
        <v>24</v>
      </c>
      <c r="B3" s="2" t="s">
        <v>25</v>
      </c>
      <c r="C3" s="2" t="s">
        <v>23</v>
      </c>
      <c r="D3" s="3">
        <v>58000</v>
      </c>
      <c r="E3" s="3">
        <v>43000</v>
      </c>
    </row>
    <row r="4" spans="1:5" x14ac:dyDescent="0.2">
      <c r="A4" s="2" t="s">
        <v>26</v>
      </c>
      <c r="B4" s="2" t="s">
        <v>27</v>
      </c>
      <c r="C4" s="2" t="s">
        <v>23</v>
      </c>
      <c r="D4" s="3">
        <v>10000</v>
      </c>
      <c r="E4" s="3">
        <v>7000</v>
      </c>
    </row>
    <row r="5" spans="1:5" x14ac:dyDescent="0.2">
      <c r="A5" s="2" t="s">
        <v>28</v>
      </c>
      <c r="B5" s="2" t="s">
        <v>29</v>
      </c>
      <c r="C5" s="2" t="s">
        <v>23</v>
      </c>
      <c r="D5" s="3">
        <v>62000</v>
      </c>
      <c r="E5" s="3">
        <v>42000</v>
      </c>
    </row>
    <row r="6" spans="1:5" x14ac:dyDescent="0.2">
      <c r="A6" s="2" t="s">
        <v>30</v>
      </c>
      <c r="B6" s="2" t="s">
        <v>31</v>
      </c>
      <c r="C6" s="2" t="s">
        <v>23</v>
      </c>
      <c r="D6" s="3">
        <v>135000</v>
      </c>
      <c r="E6" s="3">
        <v>83500</v>
      </c>
    </row>
    <row r="7" spans="1:5" x14ac:dyDescent="0.2">
      <c r="A7" s="2" t="s">
        <v>32</v>
      </c>
      <c r="B7" s="2" t="s">
        <v>33</v>
      </c>
      <c r="C7" s="2" t="s">
        <v>23</v>
      </c>
      <c r="D7" s="3">
        <v>45000</v>
      </c>
      <c r="E7" s="3">
        <v>31500</v>
      </c>
    </row>
    <row r="8" spans="1:5" x14ac:dyDescent="0.2">
      <c r="A8" s="2" t="s">
        <v>34</v>
      </c>
      <c r="B8" s="2" t="s">
        <v>35</v>
      </c>
      <c r="C8" s="2" t="s">
        <v>23</v>
      </c>
      <c r="D8" s="3">
        <v>345000</v>
      </c>
      <c r="E8" s="3">
        <v>283000</v>
      </c>
    </row>
    <row r="9" spans="1:5" x14ac:dyDescent="0.2">
      <c r="A9" s="2" t="s">
        <v>36</v>
      </c>
      <c r="B9" s="2" t="s">
        <v>37</v>
      </c>
      <c r="C9" s="2" t="s">
        <v>38</v>
      </c>
      <c r="D9" s="3">
        <v>36000</v>
      </c>
      <c r="E9" s="3">
        <v>28000</v>
      </c>
    </row>
    <row r="10" spans="1:5" x14ac:dyDescent="0.2">
      <c r="A10" s="2" t="s">
        <v>39</v>
      </c>
      <c r="B10" s="2" t="s">
        <v>40</v>
      </c>
      <c r="C10" s="2" t="s">
        <v>38</v>
      </c>
      <c r="D10" s="3">
        <v>32000</v>
      </c>
      <c r="E10" s="3">
        <v>25000</v>
      </c>
    </row>
    <row r="11" spans="1:5" x14ac:dyDescent="0.2">
      <c r="A11" s="2" t="s">
        <v>41</v>
      </c>
      <c r="B11" s="2" t="s">
        <v>42</v>
      </c>
      <c r="C11" s="2" t="s">
        <v>38</v>
      </c>
      <c r="D11" s="3">
        <v>28000</v>
      </c>
      <c r="E11" s="3">
        <v>20000</v>
      </c>
    </row>
    <row r="12" spans="1:5" x14ac:dyDescent="0.2">
      <c r="A12" s="2" t="s">
        <v>43</v>
      </c>
      <c r="B12" s="2" t="s">
        <v>44</v>
      </c>
      <c r="C12" s="2" t="s">
        <v>38</v>
      </c>
      <c r="D12" s="3">
        <v>485000</v>
      </c>
      <c r="E12" s="3">
        <v>388000</v>
      </c>
    </row>
    <row r="13" spans="1:5" x14ac:dyDescent="0.2">
      <c r="A13" s="2" t="s">
        <v>45</v>
      </c>
      <c r="B13" s="2" t="s">
        <v>46</v>
      </c>
      <c r="C13" s="2" t="s">
        <v>38</v>
      </c>
      <c r="D13" s="3">
        <v>26000</v>
      </c>
      <c r="E13" s="3">
        <v>20000</v>
      </c>
    </row>
    <row r="14" spans="1:5" x14ac:dyDescent="0.2">
      <c r="A14" s="2" t="s">
        <v>47</v>
      </c>
      <c r="B14" s="2" t="s">
        <v>48</v>
      </c>
      <c r="C14" s="2" t="s">
        <v>49</v>
      </c>
      <c r="D14" s="3">
        <v>128000</v>
      </c>
      <c r="E14" s="3">
        <v>102500</v>
      </c>
    </row>
    <row r="15" spans="1:5" x14ac:dyDescent="0.2">
      <c r="A15" s="2" t="s">
        <v>50</v>
      </c>
      <c r="B15" s="2" t="s">
        <v>51</v>
      </c>
      <c r="C15" s="2" t="s">
        <v>49</v>
      </c>
      <c r="D15" s="3">
        <v>145000</v>
      </c>
      <c r="E15" s="3">
        <v>119000</v>
      </c>
    </row>
    <row r="16" spans="1:5" x14ac:dyDescent="0.2">
      <c r="A16" s="2" t="s">
        <v>52</v>
      </c>
      <c r="B16" s="2" t="s">
        <v>53</v>
      </c>
      <c r="C16" s="2" t="s">
        <v>49</v>
      </c>
      <c r="D16" s="3">
        <v>52000</v>
      </c>
      <c r="E16" s="3">
        <v>41500</v>
      </c>
    </row>
    <row r="17" spans="1:5" x14ac:dyDescent="0.2">
      <c r="A17" s="2" t="s">
        <v>54</v>
      </c>
      <c r="B17" s="2" t="s">
        <v>55</v>
      </c>
      <c r="C17" s="2" t="s">
        <v>49</v>
      </c>
      <c r="D17" s="3">
        <v>38000</v>
      </c>
      <c r="E17" s="3">
        <v>26500</v>
      </c>
    </row>
    <row r="18" spans="1:5" x14ac:dyDescent="0.2">
      <c r="A18" s="2" t="s">
        <v>56</v>
      </c>
      <c r="B18" s="2" t="s">
        <v>57</v>
      </c>
      <c r="C18" s="2" t="s">
        <v>49</v>
      </c>
      <c r="D18" s="3">
        <v>27000</v>
      </c>
      <c r="E18" s="3">
        <v>22500</v>
      </c>
    </row>
    <row r="19" spans="1:5" x14ac:dyDescent="0.2">
      <c r="A19" s="2" t="s">
        <v>58</v>
      </c>
      <c r="B19" s="2" t="s">
        <v>59</v>
      </c>
      <c r="C19" s="2" t="s">
        <v>49</v>
      </c>
      <c r="D19" s="3">
        <v>42000</v>
      </c>
      <c r="E19" s="3">
        <v>30000</v>
      </c>
    </row>
    <row r="20" spans="1:5" x14ac:dyDescent="0.2">
      <c r="A20" s="2" t="s">
        <v>60</v>
      </c>
      <c r="B20" s="2" t="s">
        <v>61</v>
      </c>
      <c r="C20" s="2" t="s">
        <v>49</v>
      </c>
      <c r="D20" s="3">
        <v>24000</v>
      </c>
      <c r="E20" s="3">
        <v>17000</v>
      </c>
    </row>
    <row r="21" spans="1:5" x14ac:dyDescent="0.2">
      <c r="A21" s="2" t="s">
        <v>62</v>
      </c>
      <c r="B21" s="2" t="s">
        <v>63</v>
      </c>
      <c r="C21" s="2" t="s">
        <v>49</v>
      </c>
      <c r="D21" s="3">
        <v>22000</v>
      </c>
      <c r="E21" s="3">
        <v>16000</v>
      </c>
    </row>
    <row r="22" spans="1:5" x14ac:dyDescent="0.2">
      <c r="A22" s="2" t="s">
        <v>64</v>
      </c>
      <c r="B22" s="2" t="s">
        <v>65</v>
      </c>
      <c r="C22" s="2" t="s">
        <v>66</v>
      </c>
      <c r="D22" s="3">
        <v>99000</v>
      </c>
      <c r="E22" s="3">
        <v>62000</v>
      </c>
    </row>
    <row r="23" spans="1:5" x14ac:dyDescent="0.2">
      <c r="A23" s="2" t="s">
        <v>64</v>
      </c>
      <c r="B23" s="2" t="s">
        <v>67</v>
      </c>
      <c r="C23" s="2" t="s">
        <v>66</v>
      </c>
      <c r="D23" s="3">
        <v>115000</v>
      </c>
      <c r="E23" s="3">
        <v>69000</v>
      </c>
    </row>
    <row r="24" spans="1:5" x14ac:dyDescent="0.2">
      <c r="A24" s="2" t="s">
        <v>68</v>
      </c>
      <c r="B24" s="2" t="s">
        <v>69</v>
      </c>
      <c r="C24" s="2" t="s">
        <v>66</v>
      </c>
      <c r="D24" s="3">
        <v>48000</v>
      </c>
      <c r="E24" s="3">
        <v>28000</v>
      </c>
    </row>
    <row r="25" spans="1:5" x14ac:dyDescent="0.2">
      <c r="A25" s="2" t="s">
        <v>70</v>
      </c>
      <c r="B25" s="2" t="s">
        <v>71</v>
      </c>
      <c r="C25" s="2" t="s">
        <v>66</v>
      </c>
      <c r="D25" s="3">
        <v>185000</v>
      </c>
      <c r="E25" s="3">
        <v>120000</v>
      </c>
    </row>
    <row r="26" spans="1:5" x14ac:dyDescent="0.2">
      <c r="A26" s="2" t="s">
        <v>72</v>
      </c>
      <c r="B26" s="2" t="s">
        <v>73</v>
      </c>
      <c r="C26" s="2" t="s">
        <v>66</v>
      </c>
      <c r="D26" s="3">
        <v>95000</v>
      </c>
      <c r="E26" s="3">
        <v>52500</v>
      </c>
    </row>
    <row r="27" spans="1:5" x14ac:dyDescent="0.2">
      <c r="A27" s="2" t="s">
        <v>74</v>
      </c>
      <c r="B27" s="2" t="s">
        <v>75</v>
      </c>
      <c r="C27" s="2" t="s">
        <v>66</v>
      </c>
      <c r="D27" s="3">
        <v>42000</v>
      </c>
      <c r="E27" s="3">
        <v>26000</v>
      </c>
    </row>
    <row r="28" spans="1:5" x14ac:dyDescent="0.2">
      <c r="A28" s="2" t="s">
        <v>76</v>
      </c>
      <c r="B28" s="2" t="s">
        <v>77</v>
      </c>
      <c r="C28" s="2" t="s">
        <v>66</v>
      </c>
      <c r="D28" s="3">
        <v>19000</v>
      </c>
      <c r="E28" s="3">
        <v>11500</v>
      </c>
    </row>
    <row r="29" spans="1:5" x14ac:dyDescent="0.2">
      <c r="A29" s="2" t="s">
        <v>78</v>
      </c>
      <c r="B29" s="2" t="s">
        <v>79</v>
      </c>
      <c r="C29" s="2" t="s">
        <v>66</v>
      </c>
      <c r="D29" s="3">
        <v>650000</v>
      </c>
      <c r="E29" s="3">
        <v>390000</v>
      </c>
    </row>
    <row r="30" spans="1:5" x14ac:dyDescent="0.2">
      <c r="A30" s="2" t="s">
        <v>80</v>
      </c>
      <c r="B30" s="2" t="s">
        <v>81</v>
      </c>
      <c r="C30" s="2" t="s">
        <v>82</v>
      </c>
      <c r="D30" s="3">
        <v>165000</v>
      </c>
      <c r="E30" s="3">
        <v>102500</v>
      </c>
    </row>
    <row r="31" spans="1:5" x14ac:dyDescent="0.2">
      <c r="A31" s="2" t="s">
        <v>83</v>
      </c>
      <c r="B31" s="2" t="s">
        <v>84</v>
      </c>
      <c r="C31" s="2" t="s">
        <v>82</v>
      </c>
      <c r="D31" s="3">
        <v>145000</v>
      </c>
      <c r="E31" s="3">
        <v>90000</v>
      </c>
    </row>
    <row r="32" spans="1:5" x14ac:dyDescent="0.2">
      <c r="A32" s="2" t="s">
        <v>85</v>
      </c>
      <c r="B32" s="2" t="s">
        <v>86</v>
      </c>
      <c r="C32" s="2" t="s">
        <v>82</v>
      </c>
      <c r="D32" s="3">
        <v>39000</v>
      </c>
      <c r="E32" s="3">
        <v>25000</v>
      </c>
    </row>
    <row r="33" spans="1:5" x14ac:dyDescent="0.2">
      <c r="A33" s="2" t="s">
        <v>87</v>
      </c>
      <c r="B33" s="2" t="s">
        <v>88</v>
      </c>
      <c r="C33" s="2" t="s">
        <v>82</v>
      </c>
      <c r="D33" s="3">
        <v>35000</v>
      </c>
      <c r="E33" s="3">
        <v>19000</v>
      </c>
    </row>
    <row r="34" spans="1:5" x14ac:dyDescent="0.2">
      <c r="A34" s="2" t="s">
        <v>89</v>
      </c>
      <c r="B34" s="2" t="s">
        <v>90</v>
      </c>
      <c r="C34" s="2" t="s">
        <v>82</v>
      </c>
      <c r="D34" s="3">
        <v>56000</v>
      </c>
      <c r="E34" s="3">
        <v>39000</v>
      </c>
    </row>
    <row r="35" spans="1:5" x14ac:dyDescent="0.2">
      <c r="A35" s="2" t="s">
        <v>91</v>
      </c>
      <c r="B35" s="2" t="s">
        <v>92</v>
      </c>
      <c r="C35" s="2" t="s">
        <v>82</v>
      </c>
      <c r="D35" s="3">
        <v>62000</v>
      </c>
      <c r="E35" s="3">
        <v>37000</v>
      </c>
    </row>
    <row r="36" spans="1:5" x14ac:dyDescent="0.2">
      <c r="A36" s="2" t="s">
        <v>93</v>
      </c>
      <c r="B36" s="2" t="s">
        <v>94</v>
      </c>
      <c r="C36" s="2" t="s">
        <v>95</v>
      </c>
      <c r="D36" s="3">
        <v>158000</v>
      </c>
      <c r="E36" s="3">
        <v>118500</v>
      </c>
    </row>
    <row r="37" spans="1:5" x14ac:dyDescent="0.2">
      <c r="A37" s="2" t="s">
        <v>96</v>
      </c>
      <c r="B37" s="2" t="s">
        <v>97</v>
      </c>
      <c r="C37" s="2" t="s">
        <v>95</v>
      </c>
      <c r="D37" s="3">
        <v>32000</v>
      </c>
      <c r="E37" s="3">
        <v>22500</v>
      </c>
    </row>
    <row r="38" spans="1:5" x14ac:dyDescent="0.2">
      <c r="A38" s="2" t="s">
        <v>98</v>
      </c>
      <c r="B38" s="2" t="s">
        <v>99</v>
      </c>
      <c r="C38" s="2" t="s">
        <v>95</v>
      </c>
      <c r="D38" s="3">
        <v>45000</v>
      </c>
      <c r="E38" s="3">
        <v>30500</v>
      </c>
    </row>
    <row r="39" spans="1:5" x14ac:dyDescent="0.2">
      <c r="A39" s="2" t="s">
        <v>100</v>
      </c>
      <c r="B39" s="2" t="s">
        <v>101</v>
      </c>
      <c r="C39" s="2" t="s">
        <v>95</v>
      </c>
      <c r="D39" s="3">
        <v>25000</v>
      </c>
      <c r="E39" s="3">
        <v>14000</v>
      </c>
    </row>
    <row r="40" spans="1:5" x14ac:dyDescent="0.2">
      <c r="A40" s="2" t="s">
        <v>102</v>
      </c>
      <c r="B40" s="2" t="s">
        <v>103</v>
      </c>
      <c r="C40" s="2" t="s">
        <v>95</v>
      </c>
      <c r="D40" s="3">
        <v>89000</v>
      </c>
      <c r="E40" s="3">
        <v>44500</v>
      </c>
    </row>
    <row r="41" spans="1:5" x14ac:dyDescent="0.2">
      <c r="A41" s="2" t="s">
        <v>104</v>
      </c>
      <c r="B41" s="2" t="s">
        <v>105</v>
      </c>
      <c r="C41" s="2" t="s">
        <v>95</v>
      </c>
      <c r="D41" s="3">
        <v>245000</v>
      </c>
      <c r="E41" s="3">
        <v>135000</v>
      </c>
    </row>
    <row r="42" spans="1:5" x14ac:dyDescent="0.2">
      <c r="A42" s="2" t="s">
        <v>106</v>
      </c>
      <c r="B42" s="2" t="s">
        <v>107</v>
      </c>
      <c r="C42" s="2" t="s">
        <v>95</v>
      </c>
      <c r="D42" s="3">
        <v>99000</v>
      </c>
      <c r="E42" s="3">
        <v>71500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83203125" defaultRowHeight="15" x14ac:dyDescent="0.2"/>
  <cols>
    <col min="1" max="1" width="14" customWidth="1"/>
    <col min="2" max="3" width="30" customWidth="1"/>
    <col min="4" max="4" width="34" customWidth="1"/>
  </cols>
  <sheetData>
    <row r="1" spans="1:4" x14ac:dyDescent="0.2">
      <c r="A1" s="1" t="s">
        <v>16</v>
      </c>
      <c r="B1" s="1" t="s">
        <v>108</v>
      </c>
      <c r="C1" s="1" t="s">
        <v>109</v>
      </c>
      <c r="D1" s="1" t="s">
        <v>110</v>
      </c>
    </row>
    <row r="2" spans="1:4" x14ac:dyDescent="0.2">
      <c r="A2" s="4" t="s">
        <v>30</v>
      </c>
      <c r="B2" s="3">
        <f>VLOOKUP(A2,Product!$A$2:$E$42,5,FALSE)</f>
        <v>83500</v>
      </c>
      <c r="C2" s="3">
        <f>VLOOKUP(A2,Product!$A$2:$E$42,5)</f>
        <v>83500</v>
      </c>
      <c r="D2" s="5"/>
    </row>
    <row r="3" spans="1:4" x14ac:dyDescent="0.2">
      <c r="A3" s="4" t="s">
        <v>47</v>
      </c>
      <c r="B3" s="3">
        <f>VLOOKUP(A3,Product!$A$2:$E$42,5,FALSE)</f>
        <v>102500</v>
      </c>
      <c r="C3" s="3">
        <f>VLOOKUP(A3,Product!$A$2:$E$42,5)</f>
        <v>102500</v>
      </c>
      <c r="D3" s="5"/>
    </row>
    <row r="4" spans="1:4" x14ac:dyDescent="0.2">
      <c r="A4" s="4" t="s">
        <v>78</v>
      </c>
      <c r="B4" s="3">
        <f>VLOOKUP(A4,Product!$A$2:$E$42,5,FALSE)</f>
        <v>390000</v>
      </c>
      <c r="C4" s="3">
        <f>VLOOKUP(A4,Product!$A$2:$E$42,5)</f>
        <v>390000</v>
      </c>
      <c r="D4" s="5"/>
    </row>
    <row r="5" spans="1:4" x14ac:dyDescent="0.2">
      <c r="A5" s="4" t="s">
        <v>111</v>
      </c>
      <c r="B5" s="3" t="e">
        <f>VLOOKUP(A5,Product!$A$2:$E$42,5,FALSE)</f>
        <v>#N/A</v>
      </c>
      <c r="C5" s="3">
        <f>VLOOKUP(A5,Product!$A$2:$E$42,5)</f>
        <v>71500</v>
      </c>
      <c r="D5" s="5" t="s">
        <v>112</v>
      </c>
    </row>
    <row r="6" spans="1:4" x14ac:dyDescent="0.2">
      <c r="A6" s="4" t="s">
        <v>113</v>
      </c>
      <c r="B6" s="3" t="e">
        <f>VLOOKUP(A6,Product!$A$2:$E$42,5,FALSE)</f>
        <v>#N/A</v>
      </c>
      <c r="C6" s="3">
        <f>VLOOKUP(A6,Product!$A$2:$E$42,5)</f>
        <v>71500</v>
      </c>
      <c r="D6" s="5" t="s">
        <v>114</v>
      </c>
    </row>
    <row r="7" spans="1:4" x14ac:dyDescent="0.2">
      <c r="A7" s="4" t="s">
        <v>104</v>
      </c>
      <c r="B7" s="3">
        <f>VLOOKUP(A7,Product!$A$2:$E$42,5,FALSE)</f>
        <v>135000</v>
      </c>
      <c r="C7" s="3">
        <f>VLOOKUP(A7,Product!$A$2:$E$42,5)</f>
        <v>135000</v>
      </c>
      <c r="D7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ColWidth="8.83203125" defaultRowHeight="15" x14ac:dyDescent="0.2"/>
  <cols>
    <col min="1" max="1" width="14" customWidth="1"/>
    <col min="2" max="2" width="18" customWidth="1"/>
    <col min="3" max="3" width="26" customWidth="1"/>
    <col min="4" max="4" width="3" customWidth="1"/>
    <col min="5" max="5" width="26" customWidth="1"/>
    <col min="6" max="6" width="22" customWidth="1"/>
  </cols>
  <sheetData>
    <row r="1" spans="1:6" x14ac:dyDescent="0.2">
      <c r="A1" s="1" t="s">
        <v>16</v>
      </c>
      <c r="B1" s="1" t="s">
        <v>115</v>
      </c>
      <c r="C1" s="1" t="s">
        <v>116</v>
      </c>
      <c r="D1" s="1"/>
      <c r="E1" s="1" t="s">
        <v>117</v>
      </c>
      <c r="F1" s="1" t="s">
        <v>118</v>
      </c>
    </row>
    <row r="2" spans="1:6" x14ac:dyDescent="0.2">
      <c r="A2" s="4" t="s">
        <v>30</v>
      </c>
      <c r="B2" s="3">
        <f>INDEX(Product!$E$2:$E$42,MATCH(A2,Product!$A$2:$A$42,0))</f>
        <v>83500</v>
      </c>
      <c r="C2" s="3">
        <f>_xlfn.XLOOKUP(A2,Product!$A$2:$A$42,Product!$E$2:$E$42,"Không có mã")</f>
        <v>83500</v>
      </c>
      <c r="E2" s="4" t="s">
        <v>51</v>
      </c>
      <c r="F2" s="2" t="str">
        <f>_xlfn.XLOOKUP(E2,Product!$B$2:$B$42,Product!$A$2:$A$42)</f>
        <v>P014</v>
      </c>
    </row>
    <row r="3" spans="1:6" x14ac:dyDescent="0.2">
      <c r="A3" s="4" t="s">
        <v>47</v>
      </c>
      <c r="B3" s="3">
        <f>INDEX(Product!$E$2:$E$42,MATCH(A3,Product!$A$2:$A$42,0))</f>
        <v>102500</v>
      </c>
      <c r="C3" s="3">
        <f>_xlfn.XLOOKUP(A3,Product!$A$2:$A$42,Product!$E$2:$E$42,"Không có mã")</f>
        <v>102500</v>
      </c>
      <c r="E3" s="4" t="s">
        <v>105</v>
      </c>
      <c r="F3" s="2" t="str">
        <f>_xlfn.XLOOKUP(E3,Product!$B$2:$B$42,Product!$A$2:$A$42)</f>
        <v>P039</v>
      </c>
    </row>
    <row r="4" spans="1:6" x14ac:dyDescent="0.2">
      <c r="A4" s="4" t="s">
        <v>78</v>
      </c>
      <c r="B4" s="3">
        <f>INDEX(Product!$E$2:$E$42,MATCH(A4,Product!$A$2:$A$42,0))</f>
        <v>390000</v>
      </c>
      <c r="C4" s="3">
        <f>_xlfn.XLOOKUP(A4,Product!$A$2:$A$42,Product!$E$2:$E$42,"Không có mã")</f>
        <v>390000</v>
      </c>
      <c r="E4" s="4" t="s">
        <v>79</v>
      </c>
      <c r="F4" s="2" t="str">
        <f>_xlfn.XLOOKUP(E4,Product!$B$2:$B$42,Product!$A$2:$A$42)</f>
        <v>P027</v>
      </c>
    </row>
    <row r="5" spans="1:6" x14ac:dyDescent="0.2">
      <c r="A5" s="4" t="s">
        <v>111</v>
      </c>
      <c r="B5" s="3" t="e">
        <f>INDEX(Product!$E$2:$E$42,MATCH(A5,Product!$A$2:$A$42,0))</f>
        <v>#N/A</v>
      </c>
      <c r="C5" s="3" t="str">
        <f>_xlfn.XLOOKUP(A5,Product!$A$2:$A$42,Product!$E$2:$E$42,"Không có mã")</f>
        <v>Không có mã</v>
      </c>
    </row>
    <row r="6" spans="1:6" x14ac:dyDescent="0.2">
      <c r="A6" s="4" t="s">
        <v>113</v>
      </c>
      <c r="B6" s="3" t="e">
        <f>INDEX(Product!$E$2:$E$42,MATCH(A6,Product!$A$2:$A$42,0))</f>
        <v>#N/A</v>
      </c>
      <c r="C6" s="3" t="str">
        <f>_xlfn.XLOOKUP(A6,Product!$A$2:$A$42,Product!$E$2:$E$42,"Không có mã")</f>
        <v>Không có mã</v>
      </c>
    </row>
    <row r="7" spans="1:6" x14ac:dyDescent="0.2">
      <c r="A7" s="4" t="s">
        <v>104</v>
      </c>
      <c r="B7" s="3">
        <f>INDEX(Product!$E$2:$E$42,MATCH(A7,Product!$A$2:$A$42,0))</f>
        <v>135000</v>
      </c>
      <c r="C7" s="3">
        <f>_xlfn.XLOOKUP(A7,Product!$A$2:$A$42,Product!$E$2:$E$42,"Không có mã")</f>
        <v>135000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1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8" customWidth="1"/>
    <col min="3" max="3" width="13" customWidth="1"/>
    <col min="4" max="4" width="10" customWidth="1"/>
    <col min="5" max="5" width="20" customWidth="1"/>
    <col min="6" max="6" width="14" customWidth="1"/>
  </cols>
  <sheetData>
    <row r="1" spans="1:6" ht="18" x14ac:dyDescent="0.2">
      <c r="A1" s="6" t="s">
        <v>119</v>
      </c>
    </row>
    <row r="3" spans="1:6" x14ac:dyDescent="0.2">
      <c r="A3" s="2" t="s">
        <v>120</v>
      </c>
      <c r="D3" s="7">
        <f>COUNTIF(Product!$A$2:$A$42,"P021")</f>
        <v>2</v>
      </c>
    </row>
    <row r="4" spans="1:6" x14ac:dyDescent="0.2">
      <c r="A4" s="2" t="s">
        <v>121</v>
      </c>
      <c r="D4" s="7">
        <f>SUMPRODUCT(--(COUNTIF(Product!$A$2:$A$42,Product!$A$2:$A$42)&gt;1))</f>
        <v>2</v>
      </c>
    </row>
    <row r="5" spans="1:6" x14ac:dyDescent="0.2">
      <c r="A5" s="2" t="s">
        <v>122</v>
      </c>
      <c r="D5" s="7">
        <f>SUM(F9:F151)</f>
        <v>15872000</v>
      </c>
    </row>
    <row r="6" spans="1:6" x14ac:dyDescent="0.2">
      <c r="A6" s="2" t="s">
        <v>123</v>
      </c>
      <c r="D6" s="7">
        <f>SUM(D9:D151)*69000</f>
        <v>17664000</v>
      </c>
    </row>
    <row r="8" spans="1:6" x14ac:dyDescent="0.2">
      <c r="A8" s="1" t="s">
        <v>124</v>
      </c>
      <c r="B8" s="1" t="s">
        <v>125</v>
      </c>
      <c r="C8" s="1" t="s">
        <v>16</v>
      </c>
      <c r="D8" s="1" t="s">
        <v>126</v>
      </c>
      <c r="E8" s="1" t="s">
        <v>127</v>
      </c>
      <c r="F8" s="1" t="s">
        <v>128</v>
      </c>
    </row>
    <row r="9" spans="1:6" x14ac:dyDescent="0.2">
      <c r="A9" s="2" t="s">
        <v>129</v>
      </c>
      <c r="B9" s="2">
        <v>2</v>
      </c>
      <c r="C9" s="2" t="s">
        <v>64</v>
      </c>
      <c r="D9" s="2">
        <v>1</v>
      </c>
      <c r="E9" s="3">
        <f>_xlfn.XLOOKUP(C9,Product!$A$2:$A$42,Product!$E$2:$E$42)</f>
        <v>62000</v>
      </c>
      <c r="F9" s="3">
        <f t="shared" ref="F9:F40" si="0">D9*E9</f>
        <v>62000</v>
      </c>
    </row>
    <row r="10" spans="1:6" x14ac:dyDescent="0.2">
      <c r="A10" s="2" t="s">
        <v>130</v>
      </c>
      <c r="B10" s="2">
        <v>1</v>
      </c>
      <c r="C10" s="2" t="s">
        <v>64</v>
      </c>
      <c r="D10" s="2">
        <v>1</v>
      </c>
      <c r="E10" s="3">
        <f>_xlfn.XLOOKUP(C10,Product!$A$2:$A$42,Product!$E$2:$E$42)</f>
        <v>62000</v>
      </c>
      <c r="F10" s="3">
        <f t="shared" si="0"/>
        <v>62000</v>
      </c>
    </row>
    <row r="11" spans="1:6" x14ac:dyDescent="0.2">
      <c r="A11" s="2" t="s">
        <v>131</v>
      </c>
      <c r="B11" s="2">
        <v>1</v>
      </c>
      <c r="C11" s="2" t="s">
        <v>64</v>
      </c>
      <c r="D11" s="2">
        <v>4</v>
      </c>
      <c r="E11" s="3">
        <f>_xlfn.XLOOKUP(C11,Product!$A$2:$A$42,Product!$E$2:$E$42)</f>
        <v>62000</v>
      </c>
      <c r="F11" s="3">
        <f t="shared" si="0"/>
        <v>248000</v>
      </c>
    </row>
    <row r="12" spans="1:6" x14ac:dyDescent="0.2">
      <c r="A12" s="2" t="s">
        <v>132</v>
      </c>
      <c r="B12" s="2">
        <v>1</v>
      </c>
      <c r="C12" s="2" t="s">
        <v>64</v>
      </c>
      <c r="D12" s="2">
        <v>3</v>
      </c>
      <c r="E12" s="3">
        <f>_xlfn.XLOOKUP(C12,Product!$A$2:$A$42,Product!$E$2:$E$42)</f>
        <v>62000</v>
      </c>
      <c r="F12" s="3">
        <f t="shared" si="0"/>
        <v>186000</v>
      </c>
    </row>
    <row r="13" spans="1:6" x14ac:dyDescent="0.2">
      <c r="A13" s="2" t="s">
        <v>133</v>
      </c>
      <c r="B13" s="2">
        <v>3</v>
      </c>
      <c r="C13" s="2" t="s">
        <v>64</v>
      </c>
      <c r="D13" s="2">
        <v>6</v>
      </c>
      <c r="E13" s="3">
        <f>_xlfn.XLOOKUP(C13,Product!$A$2:$A$42,Product!$E$2:$E$42)</f>
        <v>62000</v>
      </c>
      <c r="F13" s="3">
        <f t="shared" si="0"/>
        <v>372000</v>
      </c>
    </row>
    <row r="14" spans="1:6" x14ac:dyDescent="0.2">
      <c r="A14" s="2" t="s">
        <v>134</v>
      </c>
      <c r="B14" s="2">
        <v>3</v>
      </c>
      <c r="C14" s="2" t="s">
        <v>64</v>
      </c>
      <c r="D14" s="2">
        <v>2</v>
      </c>
      <c r="E14" s="3">
        <f>_xlfn.XLOOKUP(C14,Product!$A$2:$A$42,Product!$E$2:$E$42)</f>
        <v>62000</v>
      </c>
      <c r="F14" s="3">
        <f t="shared" si="0"/>
        <v>124000</v>
      </c>
    </row>
    <row r="15" spans="1:6" x14ac:dyDescent="0.2">
      <c r="A15" s="2" t="s">
        <v>135</v>
      </c>
      <c r="B15" s="2">
        <v>2</v>
      </c>
      <c r="C15" s="2" t="s">
        <v>64</v>
      </c>
      <c r="D15" s="2">
        <v>1</v>
      </c>
      <c r="E15" s="3">
        <f>_xlfn.XLOOKUP(C15,Product!$A$2:$A$42,Product!$E$2:$E$42)</f>
        <v>62000</v>
      </c>
      <c r="F15" s="3">
        <f t="shared" si="0"/>
        <v>62000</v>
      </c>
    </row>
    <row r="16" spans="1:6" x14ac:dyDescent="0.2">
      <c r="A16" s="2" t="s">
        <v>136</v>
      </c>
      <c r="B16" s="2">
        <v>1</v>
      </c>
      <c r="C16" s="2" t="s">
        <v>64</v>
      </c>
      <c r="D16" s="2">
        <v>4</v>
      </c>
      <c r="E16" s="3">
        <f>_xlfn.XLOOKUP(C16,Product!$A$2:$A$42,Product!$E$2:$E$42)</f>
        <v>62000</v>
      </c>
      <c r="F16" s="3">
        <f t="shared" si="0"/>
        <v>248000</v>
      </c>
    </row>
    <row r="17" spans="1:6" x14ac:dyDescent="0.2">
      <c r="A17" s="2" t="s">
        <v>137</v>
      </c>
      <c r="B17" s="2">
        <v>3</v>
      </c>
      <c r="C17" s="2" t="s">
        <v>64</v>
      </c>
      <c r="D17" s="2">
        <v>3</v>
      </c>
      <c r="E17" s="3">
        <f>_xlfn.XLOOKUP(C17,Product!$A$2:$A$42,Product!$E$2:$E$42)</f>
        <v>62000</v>
      </c>
      <c r="F17" s="3">
        <f t="shared" si="0"/>
        <v>186000</v>
      </c>
    </row>
    <row r="18" spans="1:6" x14ac:dyDescent="0.2">
      <c r="A18" s="2" t="s">
        <v>138</v>
      </c>
      <c r="B18" s="2">
        <v>3</v>
      </c>
      <c r="C18" s="2" t="s">
        <v>64</v>
      </c>
      <c r="D18" s="2">
        <v>3</v>
      </c>
      <c r="E18" s="3">
        <f>_xlfn.XLOOKUP(C18,Product!$A$2:$A$42,Product!$E$2:$E$42)</f>
        <v>62000</v>
      </c>
      <c r="F18" s="3">
        <f t="shared" si="0"/>
        <v>186000</v>
      </c>
    </row>
    <row r="19" spans="1:6" x14ac:dyDescent="0.2">
      <c r="A19" s="2" t="s">
        <v>139</v>
      </c>
      <c r="B19" s="2">
        <v>2</v>
      </c>
      <c r="C19" s="2" t="s">
        <v>64</v>
      </c>
      <c r="D19" s="2">
        <v>4</v>
      </c>
      <c r="E19" s="3">
        <f>_xlfn.XLOOKUP(C19,Product!$A$2:$A$42,Product!$E$2:$E$42)</f>
        <v>62000</v>
      </c>
      <c r="F19" s="3">
        <f t="shared" si="0"/>
        <v>248000</v>
      </c>
    </row>
    <row r="20" spans="1:6" x14ac:dyDescent="0.2">
      <c r="A20" s="2" t="s">
        <v>140</v>
      </c>
      <c r="B20" s="2">
        <v>1</v>
      </c>
      <c r="C20" s="2" t="s">
        <v>64</v>
      </c>
      <c r="D20" s="2">
        <v>1</v>
      </c>
      <c r="E20" s="3">
        <f>_xlfn.XLOOKUP(C20,Product!$A$2:$A$42,Product!$E$2:$E$42)</f>
        <v>62000</v>
      </c>
      <c r="F20" s="3">
        <f t="shared" si="0"/>
        <v>62000</v>
      </c>
    </row>
    <row r="21" spans="1:6" x14ac:dyDescent="0.2">
      <c r="A21" s="2" t="s">
        <v>141</v>
      </c>
      <c r="B21" s="2">
        <v>1</v>
      </c>
      <c r="C21" s="2" t="s">
        <v>64</v>
      </c>
      <c r="D21" s="2">
        <v>1</v>
      </c>
      <c r="E21" s="3">
        <f>_xlfn.XLOOKUP(C21,Product!$A$2:$A$42,Product!$E$2:$E$42)</f>
        <v>62000</v>
      </c>
      <c r="F21" s="3">
        <f t="shared" si="0"/>
        <v>62000</v>
      </c>
    </row>
    <row r="22" spans="1:6" x14ac:dyDescent="0.2">
      <c r="A22" s="2" t="s">
        <v>142</v>
      </c>
      <c r="B22" s="2">
        <v>1</v>
      </c>
      <c r="C22" s="2" t="s">
        <v>64</v>
      </c>
      <c r="D22" s="2">
        <v>2</v>
      </c>
      <c r="E22" s="3">
        <f>_xlfn.XLOOKUP(C22,Product!$A$2:$A$42,Product!$E$2:$E$42)</f>
        <v>62000</v>
      </c>
      <c r="F22" s="3">
        <f t="shared" si="0"/>
        <v>124000</v>
      </c>
    </row>
    <row r="23" spans="1:6" x14ac:dyDescent="0.2">
      <c r="A23" s="2" t="s">
        <v>143</v>
      </c>
      <c r="B23" s="2">
        <v>4</v>
      </c>
      <c r="C23" s="2" t="s">
        <v>64</v>
      </c>
      <c r="D23" s="2">
        <v>2</v>
      </c>
      <c r="E23" s="3">
        <f>_xlfn.XLOOKUP(C23,Product!$A$2:$A$42,Product!$E$2:$E$42)</f>
        <v>62000</v>
      </c>
      <c r="F23" s="3">
        <f t="shared" si="0"/>
        <v>124000</v>
      </c>
    </row>
    <row r="24" spans="1:6" x14ac:dyDescent="0.2">
      <c r="A24" s="2" t="s">
        <v>144</v>
      </c>
      <c r="B24" s="2">
        <v>1</v>
      </c>
      <c r="C24" s="2" t="s">
        <v>64</v>
      </c>
      <c r="D24" s="2">
        <v>1</v>
      </c>
      <c r="E24" s="3">
        <f>_xlfn.XLOOKUP(C24,Product!$A$2:$A$42,Product!$E$2:$E$42)</f>
        <v>62000</v>
      </c>
      <c r="F24" s="3">
        <f t="shared" si="0"/>
        <v>62000</v>
      </c>
    </row>
    <row r="25" spans="1:6" x14ac:dyDescent="0.2">
      <c r="A25" s="2" t="s">
        <v>145</v>
      </c>
      <c r="B25" s="2">
        <v>4</v>
      </c>
      <c r="C25" s="2" t="s">
        <v>64</v>
      </c>
      <c r="D25" s="2">
        <v>3</v>
      </c>
      <c r="E25" s="3">
        <f>_xlfn.XLOOKUP(C25,Product!$A$2:$A$42,Product!$E$2:$E$42)</f>
        <v>62000</v>
      </c>
      <c r="F25" s="3">
        <f t="shared" si="0"/>
        <v>186000</v>
      </c>
    </row>
    <row r="26" spans="1:6" x14ac:dyDescent="0.2">
      <c r="A26" s="2" t="s">
        <v>146</v>
      </c>
      <c r="B26" s="2">
        <v>2</v>
      </c>
      <c r="C26" s="2" t="s">
        <v>64</v>
      </c>
      <c r="D26" s="2">
        <v>1</v>
      </c>
      <c r="E26" s="3">
        <f>_xlfn.XLOOKUP(C26,Product!$A$2:$A$42,Product!$E$2:$E$42)</f>
        <v>62000</v>
      </c>
      <c r="F26" s="3">
        <f t="shared" si="0"/>
        <v>62000</v>
      </c>
    </row>
    <row r="27" spans="1:6" x14ac:dyDescent="0.2">
      <c r="A27" s="2" t="s">
        <v>147</v>
      </c>
      <c r="B27" s="2">
        <v>3</v>
      </c>
      <c r="C27" s="2" t="s">
        <v>64</v>
      </c>
      <c r="D27" s="2">
        <v>1</v>
      </c>
      <c r="E27" s="3">
        <f>_xlfn.XLOOKUP(C27,Product!$A$2:$A$42,Product!$E$2:$E$42)</f>
        <v>62000</v>
      </c>
      <c r="F27" s="3">
        <f t="shared" si="0"/>
        <v>62000</v>
      </c>
    </row>
    <row r="28" spans="1:6" x14ac:dyDescent="0.2">
      <c r="A28" s="2" t="s">
        <v>148</v>
      </c>
      <c r="B28" s="2">
        <v>3</v>
      </c>
      <c r="C28" s="2" t="s">
        <v>64</v>
      </c>
      <c r="D28" s="2">
        <v>1</v>
      </c>
      <c r="E28" s="3">
        <f>_xlfn.XLOOKUP(C28,Product!$A$2:$A$42,Product!$E$2:$E$42)</f>
        <v>62000</v>
      </c>
      <c r="F28" s="3">
        <f t="shared" si="0"/>
        <v>62000</v>
      </c>
    </row>
    <row r="29" spans="1:6" x14ac:dyDescent="0.2">
      <c r="A29" s="2" t="s">
        <v>149</v>
      </c>
      <c r="B29" s="2">
        <v>2</v>
      </c>
      <c r="C29" s="2" t="s">
        <v>64</v>
      </c>
      <c r="D29" s="2">
        <v>2</v>
      </c>
      <c r="E29" s="3">
        <f>_xlfn.XLOOKUP(C29,Product!$A$2:$A$42,Product!$E$2:$E$42)</f>
        <v>62000</v>
      </c>
      <c r="F29" s="3">
        <f t="shared" si="0"/>
        <v>124000</v>
      </c>
    </row>
    <row r="30" spans="1:6" x14ac:dyDescent="0.2">
      <c r="A30" s="2" t="s">
        <v>150</v>
      </c>
      <c r="B30" s="2">
        <v>1</v>
      </c>
      <c r="C30" s="2" t="s">
        <v>64</v>
      </c>
      <c r="D30" s="2">
        <v>1</v>
      </c>
      <c r="E30" s="3">
        <f>_xlfn.XLOOKUP(C30,Product!$A$2:$A$42,Product!$E$2:$E$42)</f>
        <v>62000</v>
      </c>
      <c r="F30" s="3">
        <f t="shared" si="0"/>
        <v>62000</v>
      </c>
    </row>
    <row r="31" spans="1:6" x14ac:dyDescent="0.2">
      <c r="A31" s="2" t="s">
        <v>151</v>
      </c>
      <c r="B31" s="2">
        <v>2</v>
      </c>
      <c r="C31" s="2" t="s">
        <v>64</v>
      </c>
      <c r="D31" s="2">
        <v>2</v>
      </c>
      <c r="E31" s="3">
        <f>_xlfn.XLOOKUP(C31,Product!$A$2:$A$42,Product!$E$2:$E$42)</f>
        <v>62000</v>
      </c>
      <c r="F31" s="3">
        <f t="shared" si="0"/>
        <v>124000</v>
      </c>
    </row>
    <row r="32" spans="1:6" x14ac:dyDescent="0.2">
      <c r="A32" s="2" t="s">
        <v>152</v>
      </c>
      <c r="B32" s="2">
        <v>1</v>
      </c>
      <c r="C32" s="2" t="s">
        <v>64</v>
      </c>
      <c r="D32" s="2">
        <v>1</v>
      </c>
      <c r="E32" s="3">
        <f>_xlfn.XLOOKUP(C32,Product!$A$2:$A$42,Product!$E$2:$E$42)</f>
        <v>62000</v>
      </c>
      <c r="F32" s="3">
        <f t="shared" si="0"/>
        <v>62000</v>
      </c>
    </row>
    <row r="33" spans="1:6" x14ac:dyDescent="0.2">
      <c r="A33" s="2" t="s">
        <v>153</v>
      </c>
      <c r="B33" s="2">
        <v>1</v>
      </c>
      <c r="C33" s="2" t="s">
        <v>64</v>
      </c>
      <c r="D33" s="2">
        <v>2</v>
      </c>
      <c r="E33" s="3">
        <f>_xlfn.XLOOKUP(C33,Product!$A$2:$A$42,Product!$E$2:$E$42)</f>
        <v>62000</v>
      </c>
      <c r="F33" s="3">
        <f t="shared" si="0"/>
        <v>124000</v>
      </c>
    </row>
    <row r="34" spans="1:6" x14ac:dyDescent="0.2">
      <c r="A34" s="2" t="s">
        <v>154</v>
      </c>
      <c r="B34" s="2">
        <v>1</v>
      </c>
      <c r="C34" s="2" t="s">
        <v>64</v>
      </c>
      <c r="D34" s="2">
        <v>2</v>
      </c>
      <c r="E34" s="3">
        <f>_xlfn.XLOOKUP(C34,Product!$A$2:$A$42,Product!$E$2:$E$42)</f>
        <v>62000</v>
      </c>
      <c r="F34" s="3">
        <f t="shared" si="0"/>
        <v>124000</v>
      </c>
    </row>
    <row r="35" spans="1:6" x14ac:dyDescent="0.2">
      <c r="A35" s="2" t="s">
        <v>155</v>
      </c>
      <c r="B35" s="2">
        <v>3</v>
      </c>
      <c r="C35" s="2" t="s">
        <v>64</v>
      </c>
      <c r="D35" s="2">
        <v>3</v>
      </c>
      <c r="E35" s="3">
        <f>_xlfn.XLOOKUP(C35,Product!$A$2:$A$42,Product!$E$2:$E$42)</f>
        <v>62000</v>
      </c>
      <c r="F35" s="3">
        <f t="shared" si="0"/>
        <v>186000</v>
      </c>
    </row>
    <row r="36" spans="1:6" x14ac:dyDescent="0.2">
      <c r="A36" s="2" t="s">
        <v>156</v>
      </c>
      <c r="B36" s="2">
        <v>1</v>
      </c>
      <c r="C36" s="2" t="s">
        <v>64</v>
      </c>
      <c r="D36" s="2">
        <v>1</v>
      </c>
      <c r="E36" s="3">
        <f>_xlfn.XLOOKUP(C36,Product!$A$2:$A$42,Product!$E$2:$E$42)</f>
        <v>62000</v>
      </c>
      <c r="F36" s="3">
        <f t="shared" si="0"/>
        <v>62000</v>
      </c>
    </row>
    <row r="37" spans="1:6" x14ac:dyDescent="0.2">
      <c r="A37" s="2" t="s">
        <v>157</v>
      </c>
      <c r="B37" s="2">
        <v>2</v>
      </c>
      <c r="C37" s="2" t="s">
        <v>64</v>
      </c>
      <c r="D37" s="2">
        <v>1</v>
      </c>
      <c r="E37" s="3">
        <f>_xlfn.XLOOKUP(C37,Product!$A$2:$A$42,Product!$E$2:$E$42)</f>
        <v>62000</v>
      </c>
      <c r="F37" s="3">
        <f t="shared" si="0"/>
        <v>62000</v>
      </c>
    </row>
    <row r="38" spans="1:6" x14ac:dyDescent="0.2">
      <c r="A38" s="2" t="s">
        <v>158</v>
      </c>
      <c r="B38" s="2">
        <v>1</v>
      </c>
      <c r="C38" s="2" t="s">
        <v>64</v>
      </c>
      <c r="D38" s="2">
        <v>2</v>
      </c>
      <c r="E38" s="3">
        <f>_xlfn.XLOOKUP(C38,Product!$A$2:$A$42,Product!$E$2:$E$42)</f>
        <v>62000</v>
      </c>
      <c r="F38" s="3">
        <f t="shared" si="0"/>
        <v>124000</v>
      </c>
    </row>
    <row r="39" spans="1:6" x14ac:dyDescent="0.2">
      <c r="A39" s="2" t="s">
        <v>159</v>
      </c>
      <c r="B39" s="2">
        <v>1</v>
      </c>
      <c r="C39" s="2" t="s">
        <v>64</v>
      </c>
      <c r="D39" s="2">
        <v>1</v>
      </c>
      <c r="E39" s="3">
        <f>_xlfn.XLOOKUP(C39,Product!$A$2:$A$42,Product!$E$2:$E$42)</f>
        <v>62000</v>
      </c>
      <c r="F39" s="3">
        <f t="shared" si="0"/>
        <v>62000</v>
      </c>
    </row>
    <row r="40" spans="1:6" x14ac:dyDescent="0.2">
      <c r="A40" s="2" t="s">
        <v>160</v>
      </c>
      <c r="B40" s="2">
        <v>1</v>
      </c>
      <c r="C40" s="2" t="s">
        <v>64</v>
      </c>
      <c r="D40" s="2">
        <v>2</v>
      </c>
      <c r="E40" s="3">
        <f>_xlfn.XLOOKUP(C40,Product!$A$2:$A$42,Product!$E$2:$E$42)</f>
        <v>62000</v>
      </c>
      <c r="F40" s="3">
        <f t="shared" si="0"/>
        <v>124000</v>
      </c>
    </row>
    <row r="41" spans="1:6" x14ac:dyDescent="0.2">
      <c r="A41" s="2" t="s">
        <v>161</v>
      </c>
      <c r="B41" s="2">
        <v>1</v>
      </c>
      <c r="C41" s="2" t="s">
        <v>64</v>
      </c>
      <c r="D41" s="2">
        <v>3</v>
      </c>
      <c r="E41" s="3">
        <f>_xlfn.XLOOKUP(C41,Product!$A$2:$A$42,Product!$E$2:$E$42)</f>
        <v>62000</v>
      </c>
      <c r="F41" s="3">
        <f t="shared" ref="F41:F72" si="1">D41*E41</f>
        <v>186000</v>
      </c>
    </row>
    <row r="42" spans="1:6" x14ac:dyDescent="0.2">
      <c r="A42" s="2" t="s">
        <v>162</v>
      </c>
      <c r="B42" s="2">
        <v>1</v>
      </c>
      <c r="C42" s="2" t="s">
        <v>64</v>
      </c>
      <c r="D42" s="2">
        <v>2</v>
      </c>
      <c r="E42" s="3">
        <f>_xlfn.XLOOKUP(C42,Product!$A$2:$A$42,Product!$E$2:$E$42)</f>
        <v>62000</v>
      </c>
      <c r="F42" s="3">
        <f t="shared" si="1"/>
        <v>124000</v>
      </c>
    </row>
    <row r="43" spans="1:6" x14ac:dyDescent="0.2">
      <c r="A43" s="2" t="s">
        <v>163</v>
      </c>
      <c r="B43" s="2">
        <v>4</v>
      </c>
      <c r="C43" s="2" t="s">
        <v>64</v>
      </c>
      <c r="D43" s="2">
        <v>1</v>
      </c>
      <c r="E43" s="3">
        <f>_xlfn.XLOOKUP(C43,Product!$A$2:$A$42,Product!$E$2:$E$42)</f>
        <v>62000</v>
      </c>
      <c r="F43" s="3">
        <f t="shared" si="1"/>
        <v>62000</v>
      </c>
    </row>
    <row r="44" spans="1:6" x14ac:dyDescent="0.2">
      <c r="A44" s="2" t="s">
        <v>164</v>
      </c>
      <c r="B44" s="2">
        <v>3</v>
      </c>
      <c r="C44" s="2" t="s">
        <v>64</v>
      </c>
      <c r="D44" s="2">
        <v>1</v>
      </c>
      <c r="E44" s="3">
        <f>_xlfn.XLOOKUP(C44,Product!$A$2:$A$42,Product!$E$2:$E$42)</f>
        <v>62000</v>
      </c>
      <c r="F44" s="3">
        <f t="shared" si="1"/>
        <v>62000</v>
      </c>
    </row>
    <row r="45" spans="1:6" x14ac:dyDescent="0.2">
      <c r="A45" s="2" t="s">
        <v>165</v>
      </c>
      <c r="B45" s="2">
        <v>1</v>
      </c>
      <c r="C45" s="2" t="s">
        <v>64</v>
      </c>
      <c r="D45" s="2">
        <v>3</v>
      </c>
      <c r="E45" s="3">
        <f>_xlfn.XLOOKUP(C45,Product!$A$2:$A$42,Product!$E$2:$E$42)</f>
        <v>62000</v>
      </c>
      <c r="F45" s="3">
        <f t="shared" si="1"/>
        <v>186000</v>
      </c>
    </row>
    <row r="46" spans="1:6" x14ac:dyDescent="0.2">
      <c r="A46" s="2" t="s">
        <v>166</v>
      </c>
      <c r="B46" s="2">
        <v>1</v>
      </c>
      <c r="C46" s="2" t="s">
        <v>64</v>
      </c>
      <c r="D46" s="2">
        <v>1</v>
      </c>
      <c r="E46" s="3">
        <f>_xlfn.XLOOKUP(C46,Product!$A$2:$A$42,Product!$E$2:$E$42)</f>
        <v>62000</v>
      </c>
      <c r="F46" s="3">
        <f t="shared" si="1"/>
        <v>62000</v>
      </c>
    </row>
    <row r="47" spans="1:6" x14ac:dyDescent="0.2">
      <c r="A47" s="2" t="s">
        <v>167</v>
      </c>
      <c r="B47" s="2">
        <v>2</v>
      </c>
      <c r="C47" s="2" t="s">
        <v>64</v>
      </c>
      <c r="D47" s="2">
        <v>4</v>
      </c>
      <c r="E47" s="3">
        <f>_xlfn.XLOOKUP(C47,Product!$A$2:$A$42,Product!$E$2:$E$42)</f>
        <v>62000</v>
      </c>
      <c r="F47" s="3">
        <f t="shared" si="1"/>
        <v>248000</v>
      </c>
    </row>
    <row r="48" spans="1:6" x14ac:dyDescent="0.2">
      <c r="A48" s="2" t="s">
        <v>168</v>
      </c>
      <c r="B48" s="2">
        <v>1</v>
      </c>
      <c r="C48" s="2" t="s">
        <v>64</v>
      </c>
      <c r="D48" s="2">
        <v>4</v>
      </c>
      <c r="E48" s="3">
        <f>_xlfn.XLOOKUP(C48,Product!$A$2:$A$42,Product!$E$2:$E$42)</f>
        <v>62000</v>
      </c>
      <c r="F48" s="3">
        <f t="shared" si="1"/>
        <v>248000</v>
      </c>
    </row>
    <row r="49" spans="1:6" x14ac:dyDescent="0.2">
      <c r="A49" s="2" t="s">
        <v>169</v>
      </c>
      <c r="B49" s="2">
        <v>2</v>
      </c>
      <c r="C49" s="2" t="s">
        <v>64</v>
      </c>
      <c r="D49" s="2">
        <v>2</v>
      </c>
      <c r="E49" s="3">
        <f>_xlfn.XLOOKUP(C49,Product!$A$2:$A$42,Product!$E$2:$E$42)</f>
        <v>62000</v>
      </c>
      <c r="F49" s="3">
        <f t="shared" si="1"/>
        <v>124000</v>
      </c>
    </row>
    <row r="50" spans="1:6" x14ac:dyDescent="0.2">
      <c r="A50" s="2" t="s">
        <v>170</v>
      </c>
      <c r="B50" s="2">
        <v>3</v>
      </c>
      <c r="C50" s="2" t="s">
        <v>64</v>
      </c>
      <c r="D50" s="2">
        <v>3</v>
      </c>
      <c r="E50" s="3">
        <f>_xlfn.XLOOKUP(C50,Product!$A$2:$A$42,Product!$E$2:$E$42)</f>
        <v>62000</v>
      </c>
      <c r="F50" s="3">
        <f t="shared" si="1"/>
        <v>186000</v>
      </c>
    </row>
    <row r="51" spans="1:6" x14ac:dyDescent="0.2">
      <c r="A51" s="2" t="s">
        <v>171</v>
      </c>
      <c r="B51" s="2">
        <v>2</v>
      </c>
      <c r="C51" s="2" t="s">
        <v>64</v>
      </c>
      <c r="D51" s="2">
        <v>1</v>
      </c>
      <c r="E51" s="3">
        <f>_xlfn.XLOOKUP(C51,Product!$A$2:$A$42,Product!$E$2:$E$42)</f>
        <v>62000</v>
      </c>
      <c r="F51" s="3">
        <f t="shared" si="1"/>
        <v>62000</v>
      </c>
    </row>
    <row r="52" spans="1:6" x14ac:dyDescent="0.2">
      <c r="A52" s="2" t="s">
        <v>172</v>
      </c>
      <c r="B52" s="2">
        <v>1</v>
      </c>
      <c r="C52" s="2" t="s">
        <v>64</v>
      </c>
      <c r="D52" s="2">
        <v>2</v>
      </c>
      <c r="E52" s="3">
        <f>_xlfn.XLOOKUP(C52,Product!$A$2:$A$42,Product!$E$2:$E$42)</f>
        <v>62000</v>
      </c>
      <c r="F52" s="3">
        <f t="shared" si="1"/>
        <v>124000</v>
      </c>
    </row>
    <row r="53" spans="1:6" x14ac:dyDescent="0.2">
      <c r="A53" s="2" t="s">
        <v>173</v>
      </c>
      <c r="B53" s="2">
        <v>1</v>
      </c>
      <c r="C53" s="2" t="s">
        <v>64</v>
      </c>
      <c r="D53" s="2">
        <v>1</v>
      </c>
      <c r="E53" s="3">
        <f>_xlfn.XLOOKUP(C53,Product!$A$2:$A$42,Product!$E$2:$E$42)</f>
        <v>62000</v>
      </c>
      <c r="F53" s="3">
        <f t="shared" si="1"/>
        <v>62000</v>
      </c>
    </row>
    <row r="54" spans="1:6" x14ac:dyDescent="0.2">
      <c r="A54" s="2" t="s">
        <v>174</v>
      </c>
      <c r="B54" s="2">
        <v>1</v>
      </c>
      <c r="C54" s="2" t="s">
        <v>64</v>
      </c>
      <c r="D54" s="2">
        <v>1</v>
      </c>
      <c r="E54" s="3">
        <f>_xlfn.XLOOKUP(C54,Product!$A$2:$A$42,Product!$E$2:$E$42)</f>
        <v>62000</v>
      </c>
      <c r="F54" s="3">
        <f t="shared" si="1"/>
        <v>62000</v>
      </c>
    </row>
    <row r="55" spans="1:6" x14ac:dyDescent="0.2">
      <c r="A55" s="2" t="s">
        <v>175</v>
      </c>
      <c r="B55" s="2">
        <v>1</v>
      </c>
      <c r="C55" s="2" t="s">
        <v>64</v>
      </c>
      <c r="D55" s="2">
        <v>1</v>
      </c>
      <c r="E55" s="3">
        <f>_xlfn.XLOOKUP(C55,Product!$A$2:$A$42,Product!$E$2:$E$42)</f>
        <v>62000</v>
      </c>
      <c r="F55" s="3">
        <f t="shared" si="1"/>
        <v>62000</v>
      </c>
    </row>
    <row r="56" spans="1:6" x14ac:dyDescent="0.2">
      <c r="A56" s="2" t="s">
        <v>176</v>
      </c>
      <c r="B56" s="2">
        <v>2</v>
      </c>
      <c r="C56" s="2" t="s">
        <v>64</v>
      </c>
      <c r="D56" s="2">
        <v>2</v>
      </c>
      <c r="E56" s="3">
        <f>_xlfn.XLOOKUP(C56,Product!$A$2:$A$42,Product!$E$2:$E$42)</f>
        <v>62000</v>
      </c>
      <c r="F56" s="3">
        <f t="shared" si="1"/>
        <v>124000</v>
      </c>
    </row>
    <row r="57" spans="1:6" x14ac:dyDescent="0.2">
      <c r="A57" s="2" t="s">
        <v>177</v>
      </c>
      <c r="B57" s="2">
        <v>2</v>
      </c>
      <c r="C57" s="2" t="s">
        <v>64</v>
      </c>
      <c r="D57" s="2">
        <v>1</v>
      </c>
      <c r="E57" s="3">
        <f>_xlfn.XLOOKUP(C57,Product!$A$2:$A$42,Product!$E$2:$E$42)</f>
        <v>62000</v>
      </c>
      <c r="F57" s="3">
        <f t="shared" si="1"/>
        <v>62000</v>
      </c>
    </row>
    <row r="58" spans="1:6" x14ac:dyDescent="0.2">
      <c r="A58" s="2" t="s">
        <v>178</v>
      </c>
      <c r="B58" s="2">
        <v>3</v>
      </c>
      <c r="C58" s="2" t="s">
        <v>64</v>
      </c>
      <c r="D58" s="2">
        <v>2</v>
      </c>
      <c r="E58" s="3">
        <f>_xlfn.XLOOKUP(C58,Product!$A$2:$A$42,Product!$E$2:$E$42)</f>
        <v>62000</v>
      </c>
      <c r="F58" s="3">
        <f t="shared" si="1"/>
        <v>124000</v>
      </c>
    </row>
    <row r="59" spans="1:6" x14ac:dyDescent="0.2">
      <c r="A59" s="2" t="s">
        <v>179</v>
      </c>
      <c r="B59" s="2">
        <v>2</v>
      </c>
      <c r="C59" s="2" t="s">
        <v>64</v>
      </c>
      <c r="D59" s="2">
        <v>3</v>
      </c>
      <c r="E59" s="3">
        <f>_xlfn.XLOOKUP(C59,Product!$A$2:$A$42,Product!$E$2:$E$42)</f>
        <v>62000</v>
      </c>
      <c r="F59" s="3">
        <f t="shared" si="1"/>
        <v>186000</v>
      </c>
    </row>
    <row r="60" spans="1:6" x14ac:dyDescent="0.2">
      <c r="A60" s="2" t="s">
        <v>180</v>
      </c>
      <c r="B60" s="2">
        <v>1</v>
      </c>
      <c r="C60" s="2" t="s">
        <v>64</v>
      </c>
      <c r="D60" s="2">
        <v>4</v>
      </c>
      <c r="E60" s="3">
        <f>_xlfn.XLOOKUP(C60,Product!$A$2:$A$42,Product!$E$2:$E$42)</f>
        <v>62000</v>
      </c>
      <c r="F60" s="3">
        <f t="shared" si="1"/>
        <v>248000</v>
      </c>
    </row>
    <row r="61" spans="1:6" x14ac:dyDescent="0.2">
      <c r="A61" s="2" t="s">
        <v>181</v>
      </c>
      <c r="B61" s="2">
        <v>1</v>
      </c>
      <c r="C61" s="2" t="s">
        <v>64</v>
      </c>
      <c r="D61" s="2">
        <v>2</v>
      </c>
      <c r="E61" s="3">
        <f>_xlfn.XLOOKUP(C61,Product!$A$2:$A$42,Product!$E$2:$E$42)</f>
        <v>62000</v>
      </c>
      <c r="F61" s="3">
        <f t="shared" si="1"/>
        <v>124000</v>
      </c>
    </row>
    <row r="62" spans="1:6" x14ac:dyDescent="0.2">
      <c r="A62" s="2" t="s">
        <v>182</v>
      </c>
      <c r="B62" s="2">
        <v>1</v>
      </c>
      <c r="C62" s="2" t="s">
        <v>64</v>
      </c>
      <c r="D62" s="2">
        <v>2</v>
      </c>
      <c r="E62" s="3">
        <f>_xlfn.XLOOKUP(C62,Product!$A$2:$A$42,Product!$E$2:$E$42)</f>
        <v>62000</v>
      </c>
      <c r="F62" s="3">
        <f t="shared" si="1"/>
        <v>124000</v>
      </c>
    </row>
    <row r="63" spans="1:6" x14ac:dyDescent="0.2">
      <c r="A63" s="2" t="s">
        <v>183</v>
      </c>
      <c r="B63" s="2">
        <v>3</v>
      </c>
      <c r="C63" s="2" t="s">
        <v>64</v>
      </c>
      <c r="D63" s="2">
        <v>1</v>
      </c>
      <c r="E63" s="3">
        <f>_xlfn.XLOOKUP(C63,Product!$A$2:$A$42,Product!$E$2:$E$42)</f>
        <v>62000</v>
      </c>
      <c r="F63" s="3">
        <f t="shared" si="1"/>
        <v>62000</v>
      </c>
    </row>
    <row r="64" spans="1:6" x14ac:dyDescent="0.2">
      <c r="A64" s="2" t="s">
        <v>184</v>
      </c>
      <c r="B64" s="2">
        <v>3</v>
      </c>
      <c r="C64" s="2" t="s">
        <v>64</v>
      </c>
      <c r="D64" s="2">
        <v>1</v>
      </c>
      <c r="E64" s="3">
        <f>_xlfn.XLOOKUP(C64,Product!$A$2:$A$42,Product!$E$2:$E$42)</f>
        <v>62000</v>
      </c>
      <c r="F64" s="3">
        <f t="shared" si="1"/>
        <v>62000</v>
      </c>
    </row>
    <row r="65" spans="1:6" x14ac:dyDescent="0.2">
      <c r="A65" s="2" t="s">
        <v>185</v>
      </c>
      <c r="B65" s="2">
        <v>3</v>
      </c>
      <c r="C65" s="2" t="s">
        <v>64</v>
      </c>
      <c r="D65" s="2">
        <v>1</v>
      </c>
      <c r="E65" s="3">
        <f>_xlfn.XLOOKUP(C65,Product!$A$2:$A$42,Product!$E$2:$E$42)</f>
        <v>62000</v>
      </c>
      <c r="F65" s="3">
        <f t="shared" si="1"/>
        <v>62000</v>
      </c>
    </row>
    <row r="66" spans="1:6" x14ac:dyDescent="0.2">
      <c r="A66" s="2" t="s">
        <v>186</v>
      </c>
      <c r="B66" s="2">
        <v>2</v>
      </c>
      <c r="C66" s="2" t="s">
        <v>64</v>
      </c>
      <c r="D66" s="2">
        <v>1</v>
      </c>
      <c r="E66" s="3">
        <f>_xlfn.XLOOKUP(C66,Product!$A$2:$A$42,Product!$E$2:$E$42)</f>
        <v>62000</v>
      </c>
      <c r="F66" s="3">
        <f t="shared" si="1"/>
        <v>62000</v>
      </c>
    </row>
    <row r="67" spans="1:6" x14ac:dyDescent="0.2">
      <c r="A67" s="2" t="s">
        <v>187</v>
      </c>
      <c r="B67" s="2">
        <v>1</v>
      </c>
      <c r="C67" s="2" t="s">
        <v>64</v>
      </c>
      <c r="D67" s="2">
        <v>2</v>
      </c>
      <c r="E67" s="3">
        <f>_xlfn.XLOOKUP(C67,Product!$A$2:$A$42,Product!$E$2:$E$42)</f>
        <v>62000</v>
      </c>
      <c r="F67" s="3">
        <f t="shared" si="1"/>
        <v>124000</v>
      </c>
    </row>
    <row r="68" spans="1:6" x14ac:dyDescent="0.2">
      <c r="A68" s="2" t="s">
        <v>188</v>
      </c>
      <c r="B68" s="2">
        <v>1</v>
      </c>
      <c r="C68" s="2" t="s">
        <v>64</v>
      </c>
      <c r="D68" s="2">
        <v>1</v>
      </c>
      <c r="E68" s="3">
        <f>_xlfn.XLOOKUP(C68,Product!$A$2:$A$42,Product!$E$2:$E$42)</f>
        <v>62000</v>
      </c>
      <c r="F68" s="3">
        <f t="shared" si="1"/>
        <v>62000</v>
      </c>
    </row>
    <row r="69" spans="1:6" x14ac:dyDescent="0.2">
      <c r="A69" s="2" t="s">
        <v>189</v>
      </c>
      <c r="B69" s="2">
        <v>1</v>
      </c>
      <c r="C69" s="2" t="s">
        <v>64</v>
      </c>
      <c r="D69" s="2">
        <v>1</v>
      </c>
      <c r="E69" s="3">
        <f>_xlfn.XLOOKUP(C69,Product!$A$2:$A$42,Product!$E$2:$E$42)</f>
        <v>62000</v>
      </c>
      <c r="F69" s="3">
        <f t="shared" si="1"/>
        <v>62000</v>
      </c>
    </row>
    <row r="70" spans="1:6" x14ac:dyDescent="0.2">
      <c r="A70" s="2" t="s">
        <v>190</v>
      </c>
      <c r="B70" s="2">
        <v>3</v>
      </c>
      <c r="C70" s="2" t="s">
        <v>64</v>
      </c>
      <c r="D70" s="2">
        <v>1</v>
      </c>
      <c r="E70" s="3">
        <f>_xlfn.XLOOKUP(C70,Product!$A$2:$A$42,Product!$E$2:$E$42)</f>
        <v>62000</v>
      </c>
      <c r="F70" s="3">
        <f t="shared" si="1"/>
        <v>62000</v>
      </c>
    </row>
    <row r="71" spans="1:6" x14ac:dyDescent="0.2">
      <c r="A71" s="2" t="s">
        <v>191</v>
      </c>
      <c r="B71" s="2">
        <v>3</v>
      </c>
      <c r="C71" s="2" t="s">
        <v>64</v>
      </c>
      <c r="D71" s="2">
        <v>2</v>
      </c>
      <c r="E71" s="3">
        <f>_xlfn.XLOOKUP(C71,Product!$A$2:$A$42,Product!$E$2:$E$42)</f>
        <v>62000</v>
      </c>
      <c r="F71" s="3">
        <f t="shared" si="1"/>
        <v>124000</v>
      </c>
    </row>
    <row r="72" spans="1:6" x14ac:dyDescent="0.2">
      <c r="A72" s="2" t="s">
        <v>192</v>
      </c>
      <c r="B72" s="2">
        <v>1</v>
      </c>
      <c r="C72" s="2" t="s">
        <v>64</v>
      </c>
      <c r="D72" s="2">
        <v>2</v>
      </c>
      <c r="E72" s="3">
        <f>_xlfn.XLOOKUP(C72,Product!$A$2:$A$42,Product!$E$2:$E$42)</f>
        <v>62000</v>
      </c>
      <c r="F72" s="3">
        <f t="shared" si="1"/>
        <v>124000</v>
      </c>
    </row>
    <row r="73" spans="1:6" x14ac:dyDescent="0.2">
      <c r="A73" s="2" t="s">
        <v>193</v>
      </c>
      <c r="B73" s="2">
        <v>3</v>
      </c>
      <c r="C73" s="2" t="s">
        <v>64</v>
      </c>
      <c r="D73" s="2">
        <v>1</v>
      </c>
      <c r="E73" s="3">
        <f>_xlfn.XLOOKUP(C73,Product!$A$2:$A$42,Product!$E$2:$E$42)</f>
        <v>62000</v>
      </c>
      <c r="F73" s="3">
        <f t="shared" ref="F73:F104" si="2">D73*E73</f>
        <v>62000</v>
      </c>
    </row>
    <row r="74" spans="1:6" x14ac:dyDescent="0.2">
      <c r="A74" s="2" t="s">
        <v>194</v>
      </c>
      <c r="B74" s="2">
        <v>2</v>
      </c>
      <c r="C74" s="2" t="s">
        <v>64</v>
      </c>
      <c r="D74" s="2">
        <v>1</v>
      </c>
      <c r="E74" s="3">
        <f>_xlfn.XLOOKUP(C74,Product!$A$2:$A$42,Product!$E$2:$E$42)</f>
        <v>62000</v>
      </c>
      <c r="F74" s="3">
        <f t="shared" si="2"/>
        <v>62000</v>
      </c>
    </row>
    <row r="75" spans="1:6" x14ac:dyDescent="0.2">
      <c r="A75" s="2" t="s">
        <v>195</v>
      </c>
      <c r="B75" s="2">
        <v>1</v>
      </c>
      <c r="C75" s="2" t="s">
        <v>64</v>
      </c>
      <c r="D75" s="2">
        <v>1</v>
      </c>
      <c r="E75" s="3">
        <f>_xlfn.XLOOKUP(C75,Product!$A$2:$A$42,Product!$E$2:$E$42)</f>
        <v>62000</v>
      </c>
      <c r="F75" s="3">
        <f t="shared" si="2"/>
        <v>62000</v>
      </c>
    </row>
    <row r="76" spans="1:6" x14ac:dyDescent="0.2">
      <c r="A76" s="2" t="s">
        <v>196</v>
      </c>
      <c r="B76" s="2">
        <v>2</v>
      </c>
      <c r="C76" s="2" t="s">
        <v>64</v>
      </c>
      <c r="D76" s="2">
        <v>2</v>
      </c>
      <c r="E76" s="3">
        <f>_xlfn.XLOOKUP(C76,Product!$A$2:$A$42,Product!$E$2:$E$42)</f>
        <v>62000</v>
      </c>
      <c r="F76" s="3">
        <f t="shared" si="2"/>
        <v>124000</v>
      </c>
    </row>
    <row r="77" spans="1:6" x14ac:dyDescent="0.2">
      <c r="A77" s="2" t="s">
        <v>197</v>
      </c>
      <c r="B77" s="2">
        <v>1</v>
      </c>
      <c r="C77" s="2" t="s">
        <v>64</v>
      </c>
      <c r="D77" s="2">
        <v>1</v>
      </c>
      <c r="E77" s="3">
        <f>_xlfn.XLOOKUP(C77,Product!$A$2:$A$42,Product!$E$2:$E$42)</f>
        <v>62000</v>
      </c>
      <c r="F77" s="3">
        <f t="shared" si="2"/>
        <v>62000</v>
      </c>
    </row>
    <row r="78" spans="1:6" x14ac:dyDescent="0.2">
      <c r="A78" s="2" t="s">
        <v>198</v>
      </c>
      <c r="B78" s="2">
        <v>2</v>
      </c>
      <c r="C78" s="2" t="s">
        <v>64</v>
      </c>
      <c r="D78" s="2">
        <v>2</v>
      </c>
      <c r="E78" s="3">
        <f>_xlfn.XLOOKUP(C78,Product!$A$2:$A$42,Product!$E$2:$E$42)</f>
        <v>62000</v>
      </c>
      <c r="F78" s="3">
        <f t="shared" si="2"/>
        <v>124000</v>
      </c>
    </row>
    <row r="79" spans="1:6" x14ac:dyDescent="0.2">
      <c r="A79" s="2" t="s">
        <v>199</v>
      </c>
      <c r="B79" s="2">
        <v>1</v>
      </c>
      <c r="C79" s="2" t="s">
        <v>64</v>
      </c>
      <c r="D79" s="2">
        <v>1</v>
      </c>
      <c r="E79" s="3">
        <f>_xlfn.XLOOKUP(C79,Product!$A$2:$A$42,Product!$E$2:$E$42)</f>
        <v>62000</v>
      </c>
      <c r="F79" s="3">
        <f t="shared" si="2"/>
        <v>62000</v>
      </c>
    </row>
    <row r="80" spans="1:6" x14ac:dyDescent="0.2">
      <c r="A80" s="2" t="s">
        <v>200</v>
      </c>
      <c r="B80" s="2">
        <v>2</v>
      </c>
      <c r="C80" s="2" t="s">
        <v>64</v>
      </c>
      <c r="D80" s="2">
        <v>1</v>
      </c>
      <c r="E80" s="3">
        <f>_xlfn.XLOOKUP(C80,Product!$A$2:$A$42,Product!$E$2:$E$42)</f>
        <v>62000</v>
      </c>
      <c r="F80" s="3">
        <f t="shared" si="2"/>
        <v>62000</v>
      </c>
    </row>
    <row r="81" spans="1:6" x14ac:dyDescent="0.2">
      <c r="A81" s="2" t="s">
        <v>201</v>
      </c>
      <c r="B81" s="2">
        <v>1</v>
      </c>
      <c r="C81" s="2" t="s">
        <v>64</v>
      </c>
      <c r="D81" s="2">
        <v>2</v>
      </c>
      <c r="E81" s="3">
        <f>_xlfn.XLOOKUP(C81,Product!$A$2:$A$42,Product!$E$2:$E$42)</f>
        <v>62000</v>
      </c>
      <c r="F81" s="3">
        <f t="shared" si="2"/>
        <v>124000</v>
      </c>
    </row>
    <row r="82" spans="1:6" x14ac:dyDescent="0.2">
      <c r="A82" s="2" t="s">
        <v>202</v>
      </c>
      <c r="B82" s="2">
        <v>3</v>
      </c>
      <c r="C82" s="2" t="s">
        <v>64</v>
      </c>
      <c r="D82" s="2">
        <v>1</v>
      </c>
      <c r="E82" s="3">
        <f>_xlfn.XLOOKUP(C82,Product!$A$2:$A$42,Product!$E$2:$E$42)</f>
        <v>62000</v>
      </c>
      <c r="F82" s="3">
        <f t="shared" si="2"/>
        <v>62000</v>
      </c>
    </row>
    <row r="83" spans="1:6" x14ac:dyDescent="0.2">
      <c r="A83" s="2" t="s">
        <v>203</v>
      </c>
      <c r="B83" s="2">
        <v>4</v>
      </c>
      <c r="C83" s="2" t="s">
        <v>64</v>
      </c>
      <c r="D83" s="2">
        <v>4</v>
      </c>
      <c r="E83" s="3">
        <f>_xlfn.XLOOKUP(C83,Product!$A$2:$A$42,Product!$E$2:$E$42)</f>
        <v>62000</v>
      </c>
      <c r="F83" s="3">
        <f t="shared" si="2"/>
        <v>248000</v>
      </c>
    </row>
    <row r="84" spans="1:6" x14ac:dyDescent="0.2">
      <c r="A84" s="2" t="s">
        <v>204</v>
      </c>
      <c r="B84" s="2">
        <v>1</v>
      </c>
      <c r="C84" s="2" t="s">
        <v>64</v>
      </c>
      <c r="D84" s="2">
        <v>2</v>
      </c>
      <c r="E84" s="3">
        <f>_xlfn.XLOOKUP(C84,Product!$A$2:$A$42,Product!$E$2:$E$42)</f>
        <v>62000</v>
      </c>
      <c r="F84" s="3">
        <f t="shared" si="2"/>
        <v>124000</v>
      </c>
    </row>
    <row r="85" spans="1:6" x14ac:dyDescent="0.2">
      <c r="A85" s="2" t="s">
        <v>205</v>
      </c>
      <c r="B85" s="2">
        <v>2</v>
      </c>
      <c r="C85" s="2" t="s">
        <v>64</v>
      </c>
      <c r="D85" s="2">
        <v>3</v>
      </c>
      <c r="E85" s="3">
        <f>_xlfn.XLOOKUP(C85,Product!$A$2:$A$42,Product!$E$2:$E$42)</f>
        <v>62000</v>
      </c>
      <c r="F85" s="3">
        <f t="shared" si="2"/>
        <v>186000</v>
      </c>
    </row>
    <row r="86" spans="1:6" x14ac:dyDescent="0.2">
      <c r="A86" s="2" t="s">
        <v>206</v>
      </c>
      <c r="B86" s="2">
        <v>2</v>
      </c>
      <c r="C86" s="2" t="s">
        <v>64</v>
      </c>
      <c r="D86" s="2">
        <v>1</v>
      </c>
      <c r="E86" s="3">
        <f>_xlfn.XLOOKUP(C86,Product!$A$2:$A$42,Product!$E$2:$E$42)</f>
        <v>62000</v>
      </c>
      <c r="F86" s="3">
        <f t="shared" si="2"/>
        <v>62000</v>
      </c>
    </row>
    <row r="87" spans="1:6" x14ac:dyDescent="0.2">
      <c r="A87" s="2" t="s">
        <v>207</v>
      </c>
      <c r="B87" s="2">
        <v>1</v>
      </c>
      <c r="C87" s="2" t="s">
        <v>64</v>
      </c>
      <c r="D87" s="2">
        <v>2</v>
      </c>
      <c r="E87" s="3">
        <f>_xlfn.XLOOKUP(C87,Product!$A$2:$A$42,Product!$E$2:$E$42)</f>
        <v>62000</v>
      </c>
      <c r="F87" s="3">
        <f t="shared" si="2"/>
        <v>124000</v>
      </c>
    </row>
    <row r="88" spans="1:6" x14ac:dyDescent="0.2">
      <c r="A88" s="2" t="s">
        <v>208</v>
      </c>
      <c r="B88" s="2">
        <v>1</v>
      </c>
      <c r="C88" s="2" t="s">
        <v>64</v>
      </c>
      <c r="D88" s="2">
        <v>1</v>
      </c>
      <c r="E88" s="3">
        <f>_xlfn.XLOOKUP(C88,Product!$A$2:$A$42,Product!$E$2:$E$42)</f>
        <v>62000</v>
      </c>
      <c r="F88" s="3">
        <f t="shared" si="2"/>
        <v>62000</v>
      </c>
    </row>
    <row r="89" spans="1:6" x14ac:dyDescent="0.2">
      <c r="A89" s="2" t="s">
        <v>209</v>
      </c>
      <c r="B89" s="2">
        <v>3</v>
      </c>
      <c r="C89" s="2" t="s">
        <v>64</v>
      </c>
      <c r="D89" s="2">
        <v>1</v>
      </c>
      <c r="E89" s="3">
        <f>_xlfn.XLOOKUP(C89,Product!$A$2:$A$42,Product!$E$2:$E$42)</f>
        <v>62000</v>
      </c>
      <c r="F89" s="3">
        <f t="shared" si="2"/>
        <v>62000</v>
      </c>
    </row>
    <row r="90" spans="1:6" x14ac:dyDescent="0.2">
      <c r="A90" s="2" t="s">
        <v>210</v>
      </c>
      <c r="B90" s="2">
        <v>2</v>
      </c>
      <c r="C90" s="2" t="s">
        <v>64</v>
      </c>
      <c r="D90" s="2">
        <v>1</v>
      </c>
      <c r="E90" s="3">
        <f>_xlfn.XLOOKUP(C90,Product!$A$2:$A$42,Product!$E$2:$E$42)</f>
        <v>62000</v>
      </c>
      <c r="F90" s="3">
        <f t="shared" si="2"/>
        <v>62000</v>
      </c>
    </row>
    <row r="91" spans="1:6" x14ac:dyDescent="0.2">
      <c r="A91" s="2" t="s">
        <v>211</v>
      </c>
      <c r="B91" s="2">
        <v>2</v>
      </c>
      <c r="C91" s="2" t="s">
        <v>64</v>
      </c>
      <c r="D91" s="2">
        <v>2</v>
      </c>
      <c r="E91" s="3">
        <f>_xlfn.XLOOKUP(C91,Product!$A$2:$A$42,Product!$E$2:$E$42)</f>
        <v>62000</v>
      </c>
      <c r="F91" s="3">
        <f t="shared" si="2"/>
        <v>124000</v>
      </c>
    </row>
    <row r="92" spans="1:6" x14ac:dyDescent="0.2">
      <c r="A92" s="2" t="s">
        <v>212</v>
      </c>
      <c r="B92" s="2">
        <v>1</v>
      </c>
      <c r="C92" s="2" t="s">
        <v>64</v>
      </c>
      <c r="D92" s="2">
        <v>1</v>
      </c>
      <c r="E92" s="3">
        <f>_xlfn.XLOOKUP(C92,Product!$A$2:$A$42,Product!$E$2:$E$42)</f>
        <v>62000</v>
      </c>
      <c r="F92" s="3">
        <f t="shared" si="2"/>
        <v>62000</v>
      </c>
    </row>
    <row r="93" spans="1:6" x14ac:dyDescent="0.2">
      <c r="A93" s="2" t="s">
        <v>213</v>
      </c>
      <c r="B93" s="2">
        <v>1</v>
      </c>
      <c r="C93" s="2" t="s">
        <v>64</v>
      </c>
      <c r="D93" s="2">
        <v>6</v>
      </c>
      <c r="E93" s="3">
        <f>_xlfn.XLOOKUP(C93,Product!$A$2:$A$42,Product!$E$2:$E$42)</f>
        <v>62000</v>
      </c>
      <c r="F93" s="3">
        <f t="shared" si="2"/>
        <v>372000</v>
      </c>
    </row>
    <row r="94" spans="1:6" x14ac:dyDescent="0.2">
      <c r="A94" s="2" t="s">
        <v>214</v>
      </c>
      <c r="B94" s="2">
        <v>3</v>
      </c>
      <c r="C94" s="2" t="s">
        <v>64</v>
      </c>
      <c r="D94" s="2">
        <v>2</v>
      </c>
      <c r="E94" s="3">
        <f>_xlfn.XLOOKUP(C94,Product!$A$2:$A$42,Product!$E$2:$E$42)</f>
        <v>62000</v>
      </c>
      <c r="F94" s="3">
        <f t="shared" si="2"/>
        <v>124000</v>
      </c>
    </row>
    <row r="95" spans="1:6" x14ac:dyDescent="0.2">
      <c r="A95" s="2" t="s">
        <v>215</v>
      </c>
      <c r="B95" s="2">
        <v>4</v>
      </c>
      <c r="C95" s="2" t="s">
        <v>64</v>
      </c>
      <c r="D95" s="2">
        <v>1</v>
      </c>
      <c r="E95" s="3">
        <f>_xlfn.XLOOKUP(C95,Product!$A$2:$A$42,Product!$E$2:$E$42)</f>
        <v>62000</v>
      </c>
      <c r="F95" s="3">
        <f t="shared" si="2"/>
        <v>62000</v>
      </c>
    </row>
    <row r="96" spans="1:6" x14ac:dyDescent="0.2">
      <c r="A96" s="2" t="s">
        <v>216</v>
      </c>
      <c r="B96" s="2">
        <v>2</v>
      </c>
      <c r="C96" s="2" t="s">
        <v>64</v>
      </c>
      <c r="D96" s="2">
        <v>1</v>
      </c>
      <c r="E96" s="3">
        <f>_xlfn.XLOOKUP(C96,Product!$A$2:$A$42,Product!$E$2:$E$42)</f>
        <v>62000</v>
      </c>
      <c r="F96" s="3">
        <f t="shared" si="2"/>
        <v>62000</v>
      </c>
    </row>
    <row r="97" spans="1:6" x14ac:dyDescent="0.2">
      <c r="A97" s="2" t="s">
        <v>217</v>
      </c>
      <c r="B97" s="2">
        <v>2</v>
      </c>
      <c r="C97" s="2" t="s">
        <v>64</v>
      </c>
      <c r="D97" s="2">
        <v>1</v>
      </c>
      <c r="E97" s="3">
        <f>_xlfn.XLOOKUP(C97,Product!$A$2:$A$42,Product!$E$2:$E$42)</f>
        <v>62000</v>
      </c>
      <c r="F97" s="3">
        <f t="shared" si="2"/>
        <v>62000</v>
      </c>
    </row>
    <row r="98" spans="1:6" x14ac:dyDescent="0.2">
      <c r="A98" s="2" t="s">
        <v>218</v>
      </c>
      <c r="B98" s="2">
        <v>1</v>
      </c>
      <c r="C98" s="2" t="s">
        <v>64</v>
      </c>
      <c r="D98" s="2">
        <v>1</v>
      </c>
      <c r="E98" s="3">
        <f>_xlfn.XLOOKUP(C98,Product!$A$2:$A$42,Product!$E$2:$E$42)</f>
        <v>62000</v>
      </c>
      <c r="F98" s="3">
        <f t="shared" si="2"/>
        <v>62000</v>
      </c>
    </row>
    <row r="99" spans="1:6" x14ac:dyDescent="0.2">
      <c r="A99" s="2" t="s">
        <v>219</v>
      </c>
      <c r="B99" s="2">
        <v>3</v>
      </c>
      <c r="C99" s="2" t="s">
        <v>64</v>
      </c>
      <c r="D99" s="2">
        <v>2</v>
      </c>
      <c r="E99" s="3">
        <f>_xlfn.XLOOKUP(C99,Product!$A$2:$A$42,Product!$E$2:$E$42)</f>
        <v>62000</v>
      </c>
      <c r="F99" s="3">
        <f t="shared" si="2"/>
        <v>124000</v>
      </c>
    </row>
    <row r="100" spans="1:6" x14ac:dyDescent="0.2">
      <c r="A100" s="2" t="s">
        <v>220</v>
      </c>
      <c r="B100" s="2">
        <v>2</v>
      </c>
      <c r="C100" s="2" t="s">
        <v>64</v>
      </c>
      <c r="D100" s="2">
        <v>3</v>
      </c>
      <c r="E100" s="3">
        <f>_xlfn.XLOOKUP(C100,Product!$A$2:$A$42,Product!$E$2:$E$42)</f>
        <v>62000</v>
      </c>
      <c r="F100" s="3">
        <f t="shared" si="2"/>
        <v>186000</v>
      </c>
    </row>
    <row r="101" spans="1:6" x14ac:dyDescent="0.2">
      <c r="A101" s="2" t="s">
        <v>221</v>
      </c>
      <c r="B101" s="2">
        <v>1</v>
      </c>
      <c r="C101" s="2" t="s">
        <v>64</v>
      </c>
      <c r="D101" s="2">
        <v>1</v>
      </c>
      <c r="E101" s="3">
        <f>_xlfn.XLOOKUP(C101,Product!$A$2:$A$42,Product!$E$2:$E$42)</f>
        <v>62000</v>
      </c>
      <c r="F101" s="3">
        <f t="shared" si="2"/>
        <v>62000</v>
      </c>
    </row>
    <row r="102" spans="1:6" x14ac:dyDescent="0.2">
      <c r="A102" s="2" t="s">
        <v>222</v>
      </c>
      <c r="B102" s="2">
        <v>4</v>
      </c>
      <c r="C102" s="2" t="s">
        <v>64</v>
      </c>
      <c r="D102" s="2">
        <v>1</v>
      </c>
      <c r="E102" s="3">
        <f>_xlfn.XLOOKUP(C102,Product!$A$2:$A$42,Product!$E$2:$E$42)</f>
        <v>62000</v>
      </c>
      <c r="F102" s="3">
        <f t="shared" si="2"/>
        <v>62000</v>
      </c>
    </row>
    <row r="103" spans="1:6" x14ac:dyDescent="0.2">
      <c r="A103" s="2" t="s">
        <v>223</v>
      </c>
      <c r="B103" s="2">
        <v>3</v>
      </c>
      <c r="C103" s="2" t="s">
        <v>64</v>
      </c>
      <c r="D103" s="2">
        <v>1</v>
      </c>
      <c r="E103" s="3">
        <f>_xlfn.XLOOKUP(C103,Product!$A$2:$A$42,Product!$E$2:$E$42)</f>
        <v>62000</v>
      </c>
      <c r="F103" s="3">
        <f t="shared" si="2"/>
        <v>62000</v>
      </c>
    </row>
    <row r="104" spans="1:6" x14ac:dyDescent="0.2">
      <c r="A104" s="2" t="s">
        <v>224</v>
      </c>
      <c r="B104" s="2">
        <v>1</v>
      </c>
      <c r="C104" s="2" t="s">
        <v>64</v>
      </c>
      <c r="D104" s="2">
        <v>1</v>
      </c>
      <c r="E104" s="3">
        <f>_xlfn.XLOOKUP(C104,Product!$A$2:$A$42,Product!$E$2:$E$42)</f>
        <v>62000</v>
      </c>
      <c r="F104" s="3">
        <f t="shared" si="2"/>
        <v>62000</v>
      </c>
    </row>
    <row r="105" spans="1:6" x14ac:dyDescent="0.2">
      <c r="A105" s="2" t="s">
        <v>225</v>
      </c>
      <c r="B105" s="2">
        <v>1</v>
      </c>
      <c r="C105" s="2" t="s">
        <v>64</v>
      </c>
      <c r="D105" s="2">
        <v>1</v>
      </c>
      <c r="E105" s="3">
        <f>_xlfn.XLOOKUP(C105,Product!$A$2:$A$42,Product!$E$2:$E$42)</f>
        <v>62000</v>
      </c>
      <c r="F105" s="3">
        <f t="shared" ref="F105:F136" si="3">D105*E105</f>
        <v>62000</v>
      </c>
    </row>
    <row r="106" spans="1:6" x14ac:dyDescent="0.2">
      <c r="A106" s="2" t="s">
        <v>226</v>
      </c>
      <c r="B106" s="2">
        <v>2</v>
      </c>
      <c r="C106" s="2" t="s">
        <v>64</v>
      </c>
      <c r="D106" s="2">
        <v>3</v>
      </c>
      <c r="E106" s="3">
        <f>_xlfn.XLOOKUP(C106,Product!$A$2:$A$42,Product!$E$2:$E$42)</f>
        <v>62000</v>
      </c>
      <c r="F106" s="3">
        <f t="shared" si="3"/>
        <v>186000</v>
      </c>
    </row>
    <row r="107" spans="1:6" x14ac:dyDescent="0.2">
      <c r="A107" s="2" t="s">
        <v>227</v>
      </c>
      <c r="B107" s="2">
        <v>1</v>
      </c>
      <c r="C107" s="2" t="s">
        <v>64</v>
      </c>
      <c r="D107" s="2">
        <v>3</v>
      </c>
      <c r="E107" s="3">
        <f>_xlfn.XLOOKUP(C107,Product!$A$2:$A$42,Product!$E$2:$E$42)</f>
        <v>62000</v>
      </c>
      <c r="F107" s="3">
        <f t="shared" si="3"/>
        <v>186000</v>
      </c>
    </row>
    <row r="108" spans="1:6" x14ac:dyDescent="0.2">
      <c r="A108" s="2" t="s">
        <v>228</v>
      </c>
      <c r="B108" s="2">
        <v>1</v>
      </c>
      <c r="C108" s="2" t="s">
        <v>64</v>
      </c>
      <c r="D108" s="2">
        <v>3</v>
      </c>
      <c r="E108" s="3">
        <f>_xlfn.XLOOKUP(C108,Product!$A$2:$A$42,Product!$E$2:$E$42)</f>
        <v>62000</v>
      </c>
      <c r="F108" s="3">
        <f t="shared" si="3"/>
        <v>186000</v>
      </c>
    </row>
    <row r="109" spans="1:6" x14ac:dyDescent="0.2">
      <c r="A109" s="2" t="s">
        <v>229</v>
      </c>
      <c r="B109" s="2">
        <v>3</v>
      </c>
      <c r="C109" s="2" t="s">
        <v>64</v>
      </c>
      <c r="D109" s="2">
        <v>1</v>
      </c>
      <c r="E109" s="3">
        <f>_xlfn.XLOOKUP(C109,Product!$A$2:$A$42,Product!$E$2:$E$42)</f>
        <v>62000</v>
      </c>
      <c r="F109" s="3">
        <f t="shared" si="3"/>
        <v>62000</v>
      </c>
    </row>
    <row r="110" spans="1:6" x14ac:dyDescent="0.2">
      <c r="A110" s="2" t="s">
        <v>230</v>
      </c>
      <c r="B110" s="2">
        <v>1</v>
      </c>
      <c r="C110" s="2" t="s">
        <v>64</v>
      </c>
      <c r="D110" s="2">
        <v>1</v>
      </c>
      <c r="E110" s="3">
        <f>_xlfn.XLOOKUP(C110,Product!$A$2:$A$42,Product!$E$2:$E$42)</f>
        <v>62000</v>
      </c>
      <c r="F110" s="3">
        <f t="shared" si="3"/>
        <v>62000</v>
      </c>
    </row>
    <row r="111" spans="1:6" x14ac:dyDescent="0.2">
      <c r="A111" s="2" t="s">
        <v>231</v>
      </c>
      <c r="B111" s="2">
        <v>1</v>
      </c>
      <c r="C111" s="2" t="s">
        <v>64</v>
      </c>
      <c r="D111" s="2">
        <v>1</v>
      </c>
      <c r="E111" s="3">
        <f>_xlfn.XLOOKUP(C111,Product!$A$2:$A$42,Product!$E$2:$E$42)</f>
        <v>62000</v>
      </c>
      <c r="F111" s="3">
        <f t="shared" si="3"/>
        <v>62000</v>
      </c>
    </row>
    <row r="112" spans="1:6" x14ac:dyDescent="0.2">
      <c r="A112" s="2" t="s">
        <v>232</v>
      </c>
      <c r="B112" s="2">
        <v>2</v>
      </c>
      <c r="C112" s="2" t="s">
        <v>64</v>
      </c>
      <c r="D112" s="2">
        <v>2</v>
      </c>
      <c r="E112" s="3">
        <f>_xlfn.XLOOKUP(C112,Product!$A$2:$A$42,Product!$E$2:$E$42)</f>
        <v>62000</v>
      </c>
      <c r="F112" s="3">
        <f t="shared" si="3"/>
        <v>124000</v>
      </c>
    </row>
    <row r="113" spans="1:6" x14ac:dyDescent="0.2">
      <c r="A113" s="2" t="s">
        <v>233</v>
      </c>
      <c r="B113" s="2">
        <v>2</v>
      </c>
      <c r="C113" s="2" t="s">
        <v>64</v>
      </c>
      <c r="D113" s="2">
        <v>1</v>
      </c>
      <c r="E113" s="3">
        <f>_xlfn.XLOOKUP(C113,Product!$A$2:$A$42,Product!$E$2:$E$42)</f>
        <v>62000</v>
      </c>
      <c r="F113" s="3">
        <f t="shared" si="3"/>
        <v>62000</v>
      </c>
    </row>
    <row r="114" spans="1:6" x14ac:dyDescent="0.2">
      <c r="A114" s="2" t="s">
        <v>234</v>
      </c>
      <c r="B114" s="2">
        <v>2</v>
      </c>
      <c r="C114" s="2" t="s">
        <v>64</v>
      </c>
      <c r="D114" s="2">
        <v>2</v>
      </c>
      <c r="E114" s="3">
        <f>_xlfn.XLOOKUP(C114,Product!$A$2:$A$42,Product!$E$2:$E$42)</f>
        <v>62000</v>
      </c>
      <c r="F114" s="3">
        <f t="shared" si="3"/>
        <v>124000</v>
      </c>
    </row>
    <row r="115" spans="1:6" x14ac:dyDescent="0.2">
      <c r="A115" s="2" t="s">
        <v>235</v>
      </c>
      <c r="B115" s="2">
        <v>2</v>
      </c>
      <c r="C115" s="2" t="s">
        <v>64</v>
      </c>
      <c r="D115" s="2">
        <v>1</v>
      </c>
      <c r="E115" s="3">
        <f>_xlfn.XLOOKUP(C115,Product!$A$2:$A$42,Product!$E$2:$E$42)</f>
        <v>62000</v>
      </c>
      <c r="F115" s="3">
        <f t="shared" si="3"/>
        <v>62000</v>
      </c>
    </row>
    <row r="116" spans="1:6" x14ac:dyDescent="0.2">
      <c r="A116" s="2" t="s">
        <v>236</v>
      </c>
      <c r="B116" s="2">
        <v>1</v>
      </c>
      <c r="C116" s="2" t="s">
        <v>64</v>
      </c>
      <c r="D116" s="2">
        <v>3</v>
      </c>
      <c r="E116" s="3">
        <f>_xlfn.XLOOKUP(C116,Product!$A$2:$A$42,Product!$E$2:$E$42)</f>
        <v>62000</v>
      </c>
      <c r="F116" s="3">
        <f t="shared" si="3"/>
        <v>186000</v>
      </c>
    </row>
    <row r="117" spans="1:6" x14ac:dyDescent="0.2">
      <c r="A117" s="2" t="s">
        <v>237</v>
      </c>
      <c r="B117" s="2">
        <v>1</v>
      </c>
      <c r="C117" s="2" t="s">
        <v>64</v>
      </c>
      <c r="D117" s="2">
        <v>3</v>
      </c>
      <c r="E117" s="3">
        <f>_xlfn.XLOOKUP(C117,Product!$A$2:$A$42,Product!$E$2:$E$42)</f>
        <v>62000</v>
      </c>
      <c r="F117" s="3">
        <f t="shared" si="3"/>
        <v>186000</v>
      </c>
    </row>
    <row r="118" spans="1:6" x14ac:dyDescent="0.2">
      <c r="A118" s="2" t="s">
        <v>238</v>
      </c>
      <c r="B118" s="2">
        <v>3</v>
      </c>
      <c r="C118" s="2" t="s">
        <v>64</v>
      </c>
      <c r="D118" s="2">
        <v>2</v>
      </c>
      <c r="E118" s="3">
        <f>_xlfn.XLOOKUP(C118,Product!$A$2:$A$42,Product!$E$2:$E$42)</f>
        <v>62000</v>
      </c>
      <c r="F118" s="3">
        <f t="shared" si="3"/>
        <v>124000</v>
      </c>
    </row>
    <row r="119" spans="1:6" x14ac:dyDescent="0.2">
      <c r="A119" s="2" t="s">
        <v>239</v>
      </c>
      <c r="B119" s="2">
        <v>2</v>
      </c>
      <c r="C119" s="2" t="s">
        <v>64</v>
      </c>
      <c r="D119" s="2">
        <v>2</v>
      </c>
      <c r="E119" s="3">
        <f>_xlfn.XLOOKUP(C119,Product!$A$2:$A$42,Product!$E$2:$E$42)</f>
        <v>62000</v>
      </c>
      <c r="F119" s="3">
        <f t="shared" si="3"/>
        <v>124000</v>
      </c>
    </row>
    <row r="120" spans="1:6" x14ac:dyDescent="0.2">
      <c r="A120" s="2" t="s">
        <v>240</v>
      </c>
      <c r="B120" s="2">
        <v>2</v>
      </c>
      <c r="C120" s="2" t="s">
        <v>64</v>
      </c>
      <c r="D120" s="2">
        <v>1</v>
      </c>
      <c r="E120" s="3">
        <f>_xlfn.XLOOKUP(C120,Product!$A$2:$A$42,Product!$E$2:$E$42)</f>
        <v>62000</v>
      </c>
      <c r="F120" s="3">
        <f t="shared" si="3"/>
        <v>62000</v>
      </c>
    </row>
    <row r="121" spans="1:6" x14ac:dyDescent="0.2">
      <c r="A121" s="2" t="s">
        <v>241</v>
      </c>
      <c r="B121" s="2">
        <v>2</v>
      </c>
      <c r="C121" s="2" t="s">
        <v>64</v>
      </c>
      <c r="D121" s="2">
        <v>2</v>
      </c>
      <c r="E121" s="3">
        <f>_xlfn.XLOOKUP(C121,Product!$A$2:$A$42,Product!$E$2:$E$42)</f>
        <v>62000</v>
      </c>
      <c r="F121" s="3">
        <f t="shared" si="3"/>
        <v>124000</v>
      </c>
    </row>
    <row r="122" spans="1:6" x14ac:dyDescent="0.2">
      <c r="A122" s="2" t="s">
        <v>242</v>
      </c>
      <c r="B122" s="2">
        <v>2</v>
      </c>
      <c r="C122" s="2" t="s">
        <v>64</v>
      </c>
      <c r="D122" s="2">
        <v>1</v>
      </c>
      <c r="E122" s="3">
        <f>_xlfn.XLOOKUP(C122,Product!$A$2:$A$42,Product!$E$2:$E$42)</f>
        <v>62000</v>
      </c>
      <c r="F122" s="3">
        <f t="shared" si="3"/>
        <v>62000</v>
      </c>
    </row>
    <row r="123" spans="1:6" x14ac:dyDescent="0.2">
      <c r="A123" s="2" t="s">
        <v>243</v>
      </c>
      <c r="B123" s="2">
        <v>2</v>
      </c>
      <c r="C123" s="2" t="s">
        <v>64</v>
      </c>
      <c r="D123" s="2">
        <v>2</v>
      </c>
      <c r="E123" s="3">
        <f>_xlfn.XLOOKUP(C123,Product!$A$2:$A$42,Product!$E$2:$E$42)</f>
        <v>62000</v>
      </c>
      <c r="F123" s="3">
        <f t="shared" si="3"/>
        <v>124000</v>
      </c>
    </row>
    <row r="124" spans="1:6" x14ac:dyDescent="0.2">
      <c r="A124" s="2" t="s">
        <v>244</v>
      </c>
      <c r="B124" s="2">
        <v>1</v>
      </c>
      <c r="C124" s="2" t="s">
        <v>64</v>
      </c>
      <c r="D124" s="2">
        <v>2</v>
      </c>
      <c r="E124" s="3">
        <f>_xlfn.XLOOKUP(C124,Product!$A$2:$A$42,Product!$E$2:$E$42)</f>
        <v>62000</v>
      </c>
      <c r="F124" s="3">
        <f t="shared" si="3"/>
        <v>124000</v>
      </c>
    </row>
    <row r="125" spans="1:6" x14ac:dyDescent="0.2">
      <c r="A125" s="2" t="s">
        <v>245</v>
      </c>
      <c r="B125" s="2">
        <v>3</v>
      </c>
      <c r="C125" s="2" t="s">
        <v>64</v>
      </c>
      <c r="D125" s="2">
        <v>1</v>
      </c>
      <c r="E125" s="3">
        <f>_xlfn.XLOOKUP(C125,Product!$A$2:$A$42,Product!$E$2:$E$42)</f>
        <v>62000</v>
      </c>
      <c r="F125" s="3">
        <f t="shared" si="3"/>
        <v>62000</v>
      </c>
    </row>
    <row r="126" spans="1:6" x14ac:dyDescent="0.2">
      <c r="A126" s="2" t="s">
        <v>246</v>
      </c>
      <c r="B126" s="2">
        <v>3</v>
      </c>
      <c r="C126" s="2" t="s">
        <v>64</v>
      </c>
      <c r="D126" s="2">
        <v>1</v>
      </c>
      <c r="E126" s="3">
        <f>_xlfn.XLOOKUP(C126,Product!$A$2:$A$42,Product!$E$2:$E$42)</f>
        <v>62000</v>
      </c>
      <c r="F126" s="3">
        <f t="shared" si="3"/>
        <v>62000</v>
      </c>
    </row>
    <row r="127" spans="1:6" x14ac:dyDescent="0.2">
      <c r="A127" s="2" t="s">
        <v>247</v>
      </c>
      <c r="B127" s="2">
        <v>1</v>
      </c>
      <c r="C127" s="2" t="s">
        <v>64</v>
      </c>
      <c r="D127" s="2">
        <v>1</v>
      </c>
      <c r="E127" s="3">
        <f>_xlfn.XLOOKUP(C127,Product!$A$2:$A$42,Product!$E$2:$E$42)</f>
        <v>62000</v>
      </c>
      <c r="F127" s="3">
        <f t="shared" si="3"/>
        <v>62000</v>
      </c>
    </row>
    <row r="128" spans="1:6" x14ac:dyDescent="0.2">
      <c r="A128" s="2" t="s">
        <v>248</v>
      </c>
      <c r="B128" s="2">
        <v>2</v>
      </c>
      <c r="C128" s="2" t="s">
        <v>64</v>
      </c>
      <c r="D128" s="2">
        <v>2</v>
      </c>
      <c r="E128" s="3">
        <f>_xlfn.XLOOKUP(C128,Product!$A$2:$A$42,Product!$E$2:$E$42)</f>
        <v>62000</v>
      </c>
      <c r="F128" s="3">
        <f t="shared" si="3"/>
        <v>124000</v>
      </c>
    </row>
    <row r="129" spans="1:6" x14ac:dyDescent="0.2">
      <c r="A129" s="2" t="s">
        <v>249</v>
      </c>
      <c r="B129" s="2">
        <v>1</v>
      </c>
      <c r="C129" s="2" t="s">
        <v>64</v>
      </c>
      <c r="D129" s="2">
        <v>3</v>
      </c>
      <c r="E129" s="3">
        <f>_xlfn.XLOOKUP(C129,Product!$A$2:$A$42,Product!$E$2:$E$42)</f>
        <v>62000</v>
      </c>
      <c r="F129" s="3">
        <f t="shared" si="3"/>
        <v>186000</v>
      </c>
    </row>
    <row r="130" spans="1:6" x14ac:dyDescent="0.2">
      <c r="A130" s="2" t="s">
        <v>250</v>
      </c>
      <c r="B130" s="2">
        <v>1</v>
      </c>
      <c r="C130" s="2" t="s">
        <v>64</v>
      </c>
      <c r="D130" s="2">
        <v>3</v>
      </c>
      <c r="E130" s="3">
        <f>_xlfn.XLOOKUP(C130,Product!$A$2:$A$42,Product!$E$2:$E$42)</f>
        <v>62000</v>
      </c>
      <c r="F130" s="3">
        <f t="shared" si="3"/>
        <v>186000</v>
      </c>
    </row>
    <row r="131" spans="1:6" x14ac:dyDescent="0.2">
      <c r="A131" s="2" t="s">
        <v>251</v>
      </c>
      <c r="B131" s="2">
        <v>1</v>
      </c>
      <c r="C131" s="2" t="s">
        <v>64</v>
      </c>
      <c r="D131" s="2">
        <v>3</v>
      </c>
      <c r="E131" s="3">
        <f>_xlfn.XLOOKUP(C131,Product!$A$2:$A$42,Product!$E$2:$E$42)</f>
        <v>62000</v>
      </c>
      <c r="F131" s="3">
        <f t="shared" si="3"/>
        <v>186000</v>
      </c>
    </row>
    <row r="132" spans="1:6" x14ac:dyDescent="0.2">
      <c r="A132" s="2" t="s">
        <v>252</v>
      </c>
      <c r="B132" s="2">
        <v>1</v>
      </c>
      <c r="C132" s="2" t="s">
        <v>64</v>
      </c>
      <c r="D132" s="2">
        <v>1</v>
      </c>
      <c r="E132" s="3">
        <f>_xlfn.XLOOKUP(C132,Product!$A$2:$A$42,Product!$E$2:$E$42)</f>
        <v>62000</v>
      </c>
      <c r="F132" s="3">
        <f t="shared" si="3"/>
        <v>62000</v>
      </c>
    </row>
    <row r="133" spans="1:6" x14ac:dyDescent="0.2">
      <c r="A133" s="2" t="s">
        <v>253</v>
      </c>
      <c r="B133" s="2">
        <v>1</v>
      </c>
      <c r="C133" s="2" t="s">
        <v>64</v>
      </c>
      <c r="D133" s="2">
        <v>2</v>
      </c>
      <c r="E133" s="3">
        <f>_xlfn.XLOOKUP(C133,Product!$A$2:$A$42,Product!$E$2:$E$42)</f>
        <v>62000</v>
      </c>
      <c r="F133" s="3">
        <f t="shared" si="3"/>
        <v>124000</v>
      </c>
    </row>
    <row r="134" spans="1:6" x14ac:dyDescent="0.2">
      <c r="A134" s="2" t="s">
        <v>254</v>
      </c>
      <c r="B134" s="2">
        <v>3</v>
      </c>
      <c r="C134" s="2" t="s">
        <v>64</v>
      </c>
      <c r="D134" s="2">
        <v>1</v>
      </c>
      <c r="E134" s="3">
        <f>_xlfn.XLOOKUP(C134,Product!$A$2:$A$42,Product!$E$2:$E$42)</f>
        <v>62000</v>
      </c>
      <c r="F134" s="3">
        <f t="shared" si="3"/>
        <v>62000</v>
      </c>
    </row>
    <row r="135" spans="1:6" x14ac:dyDescent="0.2">
      <c r="A135" s="2" t="s">
        <v>255</v>
      </c>
      <c r="B135" s="2">
        <v>1</v>
      </c>
      <c r="C135" s="2" t="s">
        <v>64</v>
      </c>
      <c r="D135" s="2">
        <v>1</v>
      </c>
      <c r="E135" s="3">
        <f>_xlfn.XLOOKUP(C135,Product!$A$2:$A$42,Product!$E$2:$E$42)</f>
        <v>62000</v>
      </c>
      <c r="F135" s="3">
        <f t="shared" si="3"/>
        <v>62000</v>
      </c>
    </row>
    <row r="136" spans="1:6" x14ac:dyDescent="0.2">
      <c r="A136" s="2" t="s">
        <v>256</v>
      </c>
      <c r="B136" s="2">
        <v>2</v>
      </c>
      <c r="C136" s="2" t="s">
        <v>64</v>
      </c>
      <c r="D136" s="2">
        <v>1</v>
      </c>
      <c r="E136" s="3">
        <f>_xlfn.XLOOKUP(C136,Product!$A$2:$A$42,Product!$E$2:$E$42)</f>
        <v>62000</v>
      </c>
      <c r="F136" s="3">
        <f t="shared" si="3"/>
        <v>62000</v>
      </c>
    </row>
    <row r="137" spans="1:6" x14ac:dyDescent="0.2">
      <c r="A137" s="2" t="s">
        <v>257</v>
      </c>
      <c r="B137" s="2">
        <v>3</v>
      </c>
      <c r="C137" s="2" t="s">
        <v>64</v>
      </c>
      <c r="D137" s="2">
        <v>1</v>
      </c>
      <c r="E137" s="3">
        <f>_xlfn.XLOOKUP(C137,Product!$A$2:$A$42,Product!$E$2:$E$42)</f>
        <v>62000</v>
      </c>
      <c r="F137" s="3">
        <f t="shared" ref="F137:F168" si="4">D137*E137</f>
        <v>62000</v>
      </c>
    </row>
    <row r="138" spans="1:6" x14ac:dyDescent="0.2">
      <c r="A138" s="2" t="s">
        <v>258</v>
      </c>
      <c r="B138" s="2">
        <v>1</v>
      </c>
      <c r="C138" s="2" t="s">
        <v>64</v>
      </c>
      <c r="D138" s="2">
        <v>2</v>
      </c>
      <c r="E138" s="3">
        <f>_xlfn.XLOOKUP(C138,Product!$A$2:$A$42,Product!$E$2:$E$42)</f>
        <v>62000</v>
      </c>
      <c r="F138" s="3">
        <f t="shared" si="4"/>
        <v>124000</v>
      </c>
    </row>
    <row r="139" spans="1:6" x14ac:dyDescent="0.2">
      <c r="A139" s="2" t="s">
        <v>259</v>
      </c>
      <c r="B139" s="2">
        <v>1</v>
      </c>
      <c r="C139" s="2" t="s">
        <v>64</v>
      </c>
      <c r="D139" s="2">
        <v>1</v>
      </c>
      <c r="E139" s="3">
        <f>_xlfn.XLOOKUP(C139,Product!$A$2:$A$42,Product!$E$2:$E$42)</f>
        <v>62000</v>
      </c>
      <c r="F139" s="3">
        <f t="shared" si="4"/>
        <v>62000</v>
      </c>
    </row>
    <row r="140" spans="1:6" x14ac:dyDescent="0.2">
      <c r="A140" s="2" t="s">
        <v>260</v>
      </c>
      <c r="B140" s="2">
        <v>4</v>
      </c>
      <c r="C140" s="2" t="s">
        <v>64</v>
      </c>
      <c r="D140" s="2">
        <v>2</v>
      </c>
      <c r="E140" s="3">
        <f>_xlfn.XLOOKUP(C140,Product!$A$2:$A$42,Product!$E$2:$E$42)</f>
        <v>62000</v>
      </c>
      <c r="F140" s="3">
        <f t="shared" si="4"/>
        <v>124000</v>
      </c>
    </row>
    <row r="141" spans="1:6" x14ac:dyDescent="0.2">
      <c r="A141" s="2" t="s">
        <v>261</v>
      </c>
      <c r="B141" s="2">
        <v>3</v>
      </c>
      <c r="C141" s="2" t="s">
        <v>64</v>
      </c>
      <c r="D141" s="2">
        <v>1</v>
      </c>
      <c r="E141" s="3">
        <f>_xlfn.XLOOKUP(C141,Product!$A$2:$A$42,Product!$E$2:$E$42)</f>
        <v>62000</v>
      </c>
      <c r="F141" s="3">
        <f t="shared" si="4"/>
        <v>62000</v>
      </c>
    </row>
    <row r="142" spans="1:6" x14ac:dyDescent="0.2">
      <c r="A142" s="2" t="s">
        <v>262</v>
      </c>
      <c r="B142" s="2">
        <v>1</v>
      </c>
      <c r="C142" s="2" t="s">
        <v>64</v>
      </c>
      <c r="D142" s="2">
        <v>1</v>
      </c>
      <c r="E142" s="3">
        <f>_xlfn.XLOOKUP(C142,Product!$A$2:$A$42,Product!$E$2:$E$42)</f>
        <v>62000</v>
      </c>
      <c r="F142" s="3">
        <f t="shared" si="4"/>
        <v>62000</v>
      </c>
    </row>
    <row r="143" spans="1:6" x14ac:dyDescent="0.2">
      <c r="A143" s="2" t="s">
        <v>263</v>
      </c>
      <c r="B143" s="2">
        <v>2</v>
      </c>
      <c r="C143" s="2" t="s">
        <v>64</v>
      </c>
      <c r="D143" s="2">
        <v>1</v>
      </c>
      <c r="E143" s="3">
        <f>_xlfn.XLOOKUP(C143,Product!$A$2:$A$42,Product!$E$2:$E$42)</f>
        <v>62000</v>
      </c>
      <c r="F143" s="3">
        <f t="shared" si="4"/>
        <v>62000</v>
      </c>
    </row>
    <row r="144" spans="1:6" x14ac:dyDescent="0.2">
      <c r="A144" s="2" t="s">
        <v>264</v>
      </c>
      <c r="B144" s="2">
        <v>1</v>
      </c>
      <c r="C144" s="2" t="s">
        <v>64</v>
      </c>
      <c r="D144" s="2">
        <v>1</v>
      </c>
      <c r="E144" s="3">
        <f>_xlfn.XLOOKUP(C144,Product!$A$2:$A$42,Product!$E$2:$E$42)</f>
        <v>62000</v>
      </c>
      <c r="F144" s="3">
        <f t="shared" si="4"/>
        <v>62000</v>
      </c>
    </row>
    <row r="145" spans="1:6" x14ac:dyDescent="0.2">
      <c r="A145" s="2" t="s">
        <v>265</v>
      </c>
      <c r="B145" s="2">
        <v>1</v>
      </c>
      <c r="C145" s="2" t="s">
        <v>64</v>
      </c>
      <c r="D145" s="2">
        <v>2</v>
      </c>
      <c r="E145" s="3">
        <f>_xlfn.XLOOKUP(C145,Product!$A$2:$A$42,Product!$E$2:$E$42)</f>
        <v>62000</v>
      </c>
      <c r="F145" s="3">
        <f t="shared" si="4"/>
        <v>124000</v>
      </c>
    </row>
    <row r="146" spans="1:6" x14ac:dyDescent="0.2">
      <c r="A146" s="2" t="s">
        <v>266</v>
      </c>
      <c r="B146" s="2">
        <v>2</v>
      </c>
      <c r="C146" s="2" t="s">
        <v>64</v>
      </c>
      <c r="D146" s="2">
        <v>3</v>
      </c>
      <c r="E146" s="3">
        <f>_xlfn.XLOOKUP(C146,Product!$A$2:$A$42,Product!$E$2:$E$42)</f>
        <v>62000</v>
      </c>
      <c r="F146" s="3">
        <f t="shared" si="4"/>
        <v>186000</v>
      </c>
    </row>
    <row r="147" spans="1:6" x14ac:dyDescent="0.2">
      <c r="A147" s="2" t="s">
        <v>267</v>
      </c>
      <c r="B147" s="2">
        <v>3</v>
      </c>
      <c r="C147" s="2" t="s">
        <v>64</v>
      </c>
      <c r="D147" s="2">
        <v>1</v>
      </c>
      <c r="E147" s="3">
        <f>_xlfn.XLOOKUP(C147,Product!$A$2:$A$42,Product!$E$2:$E$42)</f>
        <v>62000</v>
      </c>
      <c r="F147" s="3">
        <f t="shared" si="4"/>
        <v>62000</v>
      </c>
    </row>
    <row r="148" spans="1:6" x14ac:dyDescent="0.2">
      <c r="A148" s="2" t="s">
        <v>268</v>
      </c>
      <c r="B148" s="2">
        <v>2</v>
      </c>
      <c r="C148" s="2" t="s">
        <v>64</v>
      </c>
      <c r="D148" s="2">
        <v>1</v>
      </c>
      <c r="E148" s="3">
        <f>_xlfn.XLOOKUP(C148,Product!$A$2:$A$42,Product!$E$2:$E$42)</f>
        <v>62000</v>
      </c>
      <c r="F148" s="3">
        <f t="shared" si="4"/>
        <v>62000</v>
      </c>
    </row>
    <row r="149" spans="1:6" x14ac:dyDescent="0.2">
      <c r="A149" s="2" t="s">
        <v>269</v>
      </c>
      <c r="B149" s="2">
        <v>3</v>
      </c>
      <c r="C149" s="2" t="s">
        <v>64</v>
      </c>
      <c r="D149" s="2">
        <v>1</v>
      </c>
      <c r="E149" s="3">
        <f>_xlfn.XLOOKUP(C149,Product!$A$2:$A$42,Product!$E$2:$E$42)</f>
        <v>62000</v>
      </c>
      <c r="F149" s="3">
        <f t="shared" si="4"/>
        <v>62000</v>
      </c>
    </row>
    <row r="150" spans="1:6" x14ac:dyDescent="0.2">
      <c r="A150" s="2" t="s">
        <v>270</v>
      </c>
      <c r="B150" s="2">
        <v>1</v>
      </c>
      <c r="C150" s="2" t="s">
        <v>64</v>
      </c>
      <c r="D150" s="2">
        <v>4</v>
      </c>
      <c r="E150" s="3">
        <f>_xlfn.XLOOKUP(C150,Product!$A$2:$A$42,Product!$E$2:$E$42)</f>
        <v>62000</v>
      </c>
      <c r="F150" s="3">
        <f t="shared" si="4"/>
        <v>248000</v>
      </c>
    </row>
    <row r="151" spans="1:6" x14ac:dyDescent="0.2">
      <c r="A151" s="2" t="s">
        <v>271</v>
      </c>
      <c r="B151" s="2">
        <v>2</v>
      </c>
      <c r="C151" s="2" t="s">
        <v>64</v>
      </c>
      <c r="D151" s="2">
        <v>1</v>
      </c>
      <c r="E151" s="3">
        <f>_xlfn.XLOOKUP(C151,Product!$A$2:$A$42,Product!$E$2:$E$42)</f>
        <v>62000</v>
      </c>
      <c r="F151" s="3">
        <f t="shared" si="4"/>
        <v>62000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baseColWidth="10" defaultColWidth="8.83203125" defaultRowHeight="15" x14ac:dyDescent="0.2"/>
  <cols>
    <col min="1" max="1" width="14" customWidth="1"/>
    <col min="2" max="2" width="36" customWidth="1"/>
    <col min="3" max="3" width="22" customWidth="1"/>
    <col min="4" max="4" width="12" customWidth="1"/>
    <col min="5" max="5" width="26" customWidth="1"/>
  </cols>
  <sheetData>
    <row r="1" spans="1:5" ht="18" x14ac:dyDescent="0.2">
      <c r="A1" s="6" t="s">
        <v>272</v>
      </c>
    </row>
    <row r="3" spans="1:5" x14ac:dyDescent="0.2">
      <c r="A3" s="1" t="s">
        <v>273</v>
      </c>
      <c r="B3" s="1" t="s">
        <v>274</v>
      </c>
    </row>
    <row r="4" spans="1:5" x14ac:dyDescent="0.2">
      <c r="A4" s="2">
        <v>1</v>
      </c>
      <c r="B4" s="2" t="s">
        <v>275</v>
      </c>
    </row>
    <row r="5" spans="1:5" x14ac:dyDescent="0.2">
      <c r="A5" s="2">
        <v>2</v>
      </c>
      <c r="B5" s="2" t="s">
        <v>276</v>
      </c>
    </row>
    <row r="6" spans="1:5" x14ac:dyDescent="0.2">
      <c r="A6" s="2">
        <v>3</v>
      </c>
      <c r="B6" s="2" t="s">
        <v>277</v>
      </c>
    </row>
    <row r="8" spans="1:5" x14ac:dyDescent="0.2">
      <c r="A8" s="1" t="s">
        <v>278</v>
      </c>
      <c r="B8" s="1" t="s">
        <v>279</v>
      </c>
      <c r="C8" s="1" t="s">
        <v>280</v>
      </c>
      <c r="D8" s="1" t="s">
        <v>281</v>
      </c>
      <c r="E8" s="1" t="s">
        <v>282</v>
      </c>
    </row>
    <row r="9" spans="1:5" x14ac:dyDescent="0.2">
      <c r="A9" s="4" t="s">
        <v>283</v>
      </c>
      <c r="B9" s="2" t="s">
        <v>284</v>
      </c>
      <c r="C9" s="2" t="e">
        <f>_xlfn.XLOOKUP(A9,$A$4:$A$6,$B$4:$B$6)</f>
        <v>#N/A</v>
      </c>
      <c r="D9" s="2" t="s">
        <v>285</v>
      </c>
      <c r="E9" s="2" t="str">
        <f>_xlfn.XLOOKUP(VALUE(A9),$A$4:$A$6,$B$4:$B$6)</f>
        <v>Bắc</v>
      </c>
    </row>
    <row r="10" spans="1:5" x14ac:dyDescent="0.2">
      <c r="A10" s="4">
        <v>2</v>
      </c>
      <c r="B10" s="2" t="s">
        <v>286</v>
      </c>
      <c r="C10" s="2" t="str">
        <f>_xlfn.XLOOKUP(A10,$A$4:$A$6,$B$4:$B$6)</f>
        <v>Trung</v>
      </c>
      <c r="D10" s="2" t="s">
        <v>287</v>
      </c>
      <c r="E10" s="2" t="str">
        <f>_xlfn.XLOOKUP(A10,$A$4:$A$6,$B$4:$B$6)</f>
        <v>Trung</v>
      </c>
    </row>
    <row r="11" spans="1:5" x14ac:dyDescent="0.2">
      <c r="A11" s="4" t="s">
        <v>288</v>
      </c>
      <c r="B11" s="2" t="s">
        <v>289</v>
      </c>
      <c r="C11" s="2" t="e">
        <f>_xlfn.XLOOKUP(A11,Product!$A$2:$A$42,Product!$B$2:$B$42)</f>
        <v>#N/A</v>
      </c>
      <c r="D11" s="2" t="s">
        <v>290</v>
      </c>
      <c r="E11" s="2" t="str">
        <f>_xlfn.XLOOKUP(TRIM(A11),Product!$A$2:$A$42,Product!$B$2:$B$42)</f>
        <v>Cà phê rang xay 500g</v>
      </c>
    </row>
    <row r="12" spans="1:5" x14ac:dyDescent="0.2">
      <c r="A12" s="4" t="s">
        <v>291</v>
      </c>
      <c r="B12" s="2" t="s">
        <v>292</v>
      </c>
      <c r="C12" s="2" t="e">
        <f>_xlfn.XLOOKUP(A12,Product!$A$2:$A$42,Product!$B$2:$B$42)</f>
        <v>#N/A</v>
      </c>
      <c r="D12" s="2" t="s">
        <v>293</v>
      </c>
      <c r="E12" s="2" t="str">
        <f>_xlfn.XLOOKUP(TRIM(A12),Product!$A$2:$A$42,Product!$B$2:$B$42)</f>
        <v>Mì ăn liền tôm chua cay (thùng 30 gói)</v>
      </c>
    </row>
    <row r="14" spans="1:5" x14ac:dyDescent="0.2">
      <c r="A14" s="5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Product</vt:lpstr>
      <vt:lpstr>Vi_du_VLOOKUP</vt:lpstr>
      <vt:lpstr>Vi_du_XLOOKUP</vt:lpstr>
      <vt:lpstr>Vi_du_KhoaTrung</vt:lpstr>
      <vt:lpstr>Vi_du_KieuKhoa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2026-09-27T06:05:51Z</dcterms:created>
  <dcterms:modified xsi:type="dcterms:W3CDTF">2026-09-27T06:07:12Z</dcterms:modified>
</cp:coreProperties>
</file>