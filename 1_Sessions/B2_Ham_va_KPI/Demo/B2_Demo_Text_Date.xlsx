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0" documentId="11_B97D981D9F8AE9A1215672122AEC53F2BC6B91B5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emo_Text" sheetId="1" r:id="rId1"/>
    <sheet name="Demo_Date" sheetId="2" r:id="rId2"/>
    <sheet name="Huong_d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C12" i="2" s="1"/>
  <c r="B11" i="2"/>
  <c r="C11" i="2" s="1"/>
  <c r="B10" i="2"/>
  <c r="C10" i="2" s="1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  <c r="J7" i="1"/>
  <c r="I7" i="1"/>
  <c r="H7" i="1"/>
  <c r="G7" i="1"/>
  <c r="F7" i="1"/>
  <c r="E7" i="1"/>
  <c r="J6" i="1"/>
  <c r="I6" i="1"/>
  <c r="H6" i="1"/>
  <c r="G6" i="1"/>
  <c r="F6" i="1"/>
  <c r="E6" i="1"/>
  <c r="J5" i="1"/>
  <c r="I5" i="1"/>
  <c r="H5" i="1"/>
  <c r="G5" i="1"/>
  <c r="F5" i="1"/>
  <c r="E5" i="1"/>
  <c r="J4" i="1"/>
  <c r="I4" i="1"/>
  <c r="H4" i="1"/>
  <c r="G4" i="1"/>
  <c r="F4" i="1"/>
  <c r="E4" i="1"/>
  <c r="J3" i="1"/>
  <c r="I3" i="1"/>
  <c r="H3" i="1"/>
  <c r="G3" i="1"/>
  <c r="F3" i="1"/>
  <c r="E3" i="1"/>
  <c r="J2" i="1"/>
  <c r="I2" i="1"/>
  <c r="H2" i="1"/>
  <c r="G2" i="1"/>
  <c r="F2" i="1"/>
  <c r="E2" i="1"/>
  <c r="D10" i="2" l="1"/>
  <c r="E10" i="2"/>
  <c r="E12" i="2"/>
  <c r="D12" i="2"/>
  <c r="E11" i="2"/>
  <c r="D11" i="2"/>
</calcChain>
</file>

<file path=xl/sharedStrings.xml><?xml version="1.0" encoding="utf-8"?>
<sst xmlns="http://schemas.openxmlformats.org/spreadsheetml/2006/main" count="56" uniqueCount="56">
  <si>
    <t>Order_ID</t>
  </si>
  <si>
    <t>Store_Code</t>
  </si>
  <si>
    <t>Store_Name (thô)</t>
  </si>
  <si>
    <t>Unit_Price</t>
  </si>
  <si>
    <t>Tiền tố LEFT</t>
  </si>
  <si>
    <t>Kỳ yymm MID</t>
  </si>
  <si>
    <t>Số thứ tự RIGHT</t>
  </si>
  <si>
    <t>TRIM tên</t>
  </si>
  <si>
    <t>Nhãn ghép &amp;</t>
  </si>
  <si>
    <t>TEXT giá</t>
  </si>
  <si>
    <t>HD2501-00001</t>
  </si>
  <si>
    <t>ST01</t>
  </si>
  <si>
    <t xml:space="preserve">  MCI Mart   Cầu Giấy</t>
  </si>
  <si>
    <t>HD2501-00008</t>
  </si>
  <si>
    <t>ST02</t>
  </si>
  <si>
    <t xml:space="preserve">MCI Mart Hoàn Kiếm  </t>
  </si>
  <si>
    <t>HD2501-00010</t>
  </si>
  <si>
    <t>ST03</t>
  </si>
  <si>
    <t>MCI Mart  Hải Phòng</t>
  </si>
  <si>
    <t>HD2501-00040</t>
  </si>
  <si>
    <t>ST04</t>
  </si>
  <si>
    <t xml:space="preserve"> MCI Mart Hạ Long</t>
  </si>
  <si>
    <t>HD2501-00013</t>
  </si>
  <si>
    <t>ST05</t>
  </si>
  <si>
    <t xml:space="preserve">MCI Mart   Hải Châu </t>
  </si>
  <si>
    <t>HD2501-00044</t>
  </si>
  <si>
    <t>ST06</t>
  </si>
  <si>
    <t>MCI Mart Huế</t>
  </si>
  <si>
    <t>Order_Date</t>
  </si>
  <si>
    <t>Cuối tháng EOMONTH(,0)</t>
  </si>
  <si>
    <t>Đầu tháng EOMONTH(,-1)+1</t>
  </si>
  <si>
    <t>Tháng TEXT mm/yyyy</t>
  </si>
  <si>
    <t>Quý</t>
  </si>
  <si>
    <t>Thứ TEXT ddd</t>
  </si>
  <si>
    <t>WEEKDAY(,2)</t>
  </si>
  <si>
    <t>NGÀY LÀM VIỆC TRONG THÁNG (NETWORKDAYS)</t>
  </si>
  <si>
    <t>Tháng</t>
  </si>
  <si>
    <t>Từ ngày</t>
  </si>
  <si>
    <t>Đến ngày</t>
  </si>
  <si>
    <t>Ngày làm việc</t>
  </si>
  <si>
    <t>Trừ ngày lễ</t>
  </si>
  <si>
    <t>Ngày lễ 2025 (Tết Dương lịch, nghỉ Tết Âm lịch)</t>
  </si>
  <si>
    <t>DEMO B2 — HÀM TEXT VÀ DATE (slide 26, 27)</t>
  </si>
  <si>
    <t>Slide</t>
  </si>
  <si>
    <t>Thao tác</t>
  </si>
  <si>
    <t>Kết quả mong đợi</t>
  </si>
  <si>
    <t>Sheet Demo_Text: F2 vào E2, F2, G2 (LEFT, MID, RIGHT tách Order_ID).</t>
  </si>
  <si>
    <t>HD2501-00001 → “HD”, “2501” (năm 25, tháng 01), “00001”.</t>
  </si>
  <si>
    <t>Cột H (TRIM) và I (ghép bằng &amp;). So độ dài: =LEN(C2) và =LEN(H2).</t>
  </si>
  <si>
    <t>“  MCI Mart   Cầu Giấy” → “MCI Mart Cầu Giấy”; I2 = “ST01 – MCI Mart Cầu Giấy”; LEN 21 → 17.</t>
  </si>
  <si>
    <t>Cột J: =TEXT(D2,"#,##0")&amp;" đ". Thử cộng J2 với 1.</t>
  </si>
  <si>
    <t>J2 hiện dạng “19,000 đ” hoặc “19.000 đ” tùy cài đặt vùng; J2+1 ra #VALUE! vì TEXT trả về chữ, không còn là số.</t>
  </si>
  <si>
    <t>Sheet Demo_Date: xem B2:G5 (EOMONTH, TEXT, Quý, Thứ, WEEKDAY).</t>
  </si>
  <si>
    <t>15/01/2025 → cuối tháng 31/01/2025, đầu tháng 01/01/2025, “01/2025”, Q1, thứ Tư (WEEKDAY = 3). 29/01/2025 (mùng 1 Tết) là thứ Tư. 28/02/2025 → cuối tháng 28/02/2025. 08/03/2025 là thứ Bảy (6).</t>
  </si>
  <si>
    <t>Khối NETWORKDAYS (A10:E12): cột D không tính ngày lễ, cột E trừ danh sách ngày lễ ở H10:H15.</t>
  </si>
  <si>
    <t>Tháng 1: 23 → 17 ngày; tháng 2: 20; tháng 3: 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</si>
</sst>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20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3" fontId="2" fillId="3" borderId="0" xfId="0" applyNumberFormat="1" applyFont="1" applyFill="1"/>
    <xf numFmtId="0" fontId="3" fillId="0" borderId="0" xfId="0" applyFont="1"/>
    <xf numFmtId="14" fontId="2" fillId="3" borderId="0" xfId="0" applyNumberFormat="1" applyFont="1" applyFill="1"/>
    <xf numFmtId="14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cols>
    <col min="1" max="1" width="15" customWidth="1"/>
    <col min="2" max="2" width="11" customWidth="1"/>
    <col min="3" max="3" width="24" customWidth="1"/>
    <col min="4" max="5" width="11" customWidth="1"/>
    <col min="6" max="6" width="12" customWidth="1"/>
    <col min="7" max="7" width="14" customWidth="1"/>
    <col min="8" max="8" width="22" customWidth="1"/>
    <col min="9" max="9" width="30" customWidth="1"/>
    <col min="10" max="10" width="1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3">
        <v>19000</v>
      </c>
      <c r="E2" s="4" t="str">
        <f t="shared" ref="E2:E7" si="0">LEFT(A2,2)</f>
        <v>HD</v>
      </c>
      <c r="F2" s="4" t="str">
        <f t="shared" ref="F2:F7" si="1">MID(A2,3,4)</f>
        <v>2501</v>
      </c>
      <c r="G2" s="4" t="str">
        <f t="shared" ref="G2:G7" si="2">RIGHT(A2,5)</f>
        <v>00001</v>
      </c>
      <c r="H2" s="4" t="str">
        <f t="shared" ref="H2:H7" si="3">TRIM(C2)</f>
        <v>MCI Mart Cầu Giấy</v>
      </c>
      <c r="I2" s="4" t="str">
        <f t="shared" ref="I2:I7" si="4">B2&amp;" – "&amp;TRIM(C2)</f>
        <v>ST01 – MCI Mart Cầu Giấy</v>
      </c>
      <c r="J2" s="4" t="str">
        <f t="shared" ref="J2:J7" si="5">TEXT(D2,"#,##0")&amp;" đ"</f>
        <v>19,000 đ</v>
      </c>
    </row>
    <row r="3" spans="1:10" x14ac:dyDescent="0.2">
      <c r="A3" s="2" t="s">
        <v>13</v>
      </c>
      <c r="B3" s="2" t="s">
        <v>14</v>
      </c>
      <c r="C3" s="2" t="s">
        <v>15</v>
      </c>
      <c r="D3" s="3">
        <v>42000</v>
      </c>
      <c r="E3" s="4" t="str">
        <f t="shared" si="0"/>
        <v>HD</v>
      </c>
      <c r="F3" s="4" t="str">
        <f t="shared" si="1"/>
        <v>2501</v>
      </c>
      <c r="G3" s="4" t="str">
        <f t="shared" si="2"/>
        <v>00008</v>
      </c>
      <c r="H3" s="4" t="str">
        <f t="shared" si="3"/>
        <v>MCI Mart Hoàn Kiếm</v>
      </c>
      <c r="I3" s="4" t="str">
        <f t="shared" si="4"/>
        <v>ST02 – MCI Mart Hoàn Kiếm</v>
      </c>
      <c r="J3" s="4" t="str">
        <f t="shared" si="5"/>
        <v>42,000 đ</v>
      </c>
    </row>
    <row r="4" spans="1:10" x14ac:dyDescent="0.2">
      <c r="A4" s="2" t="s">
        <v>16</v>
      </c>
      <c r="B4" s="2" t="s">
        <v>17</v>
      </c>
      <c r="C4" s="2" t="s">
        <v>18</v>
      </c>
      <c r="D4" s="3">
        <v>19000</v>
      </c>
      <c r="E4" s="4" t="str">
        <f t="shared" si="0"/>
        <v>HD</v>
      </c>
      <c r="F4" s="4" t="str">
        <f t="shared" si="1"/>
        <v>2501</v>
      </c>
      <c r="G4" s="4" t="str">
        <f t="shared" si="2"/>
        <v>00010</v>
      </c>
      <c r="H4" s="4" t="str">
        <f t="shared" si="3"/>
        <v>MCI Mart Hải Phòng</v>
      </c>
      <c r="I4" s="4" t="str">
        <f t="shared" si="4"/>
        <v>ST03 – MCI Mart Hải Phòng</v>
      </c>
      <c r="J4" s="4" t="str">
        <f t="shared" si="5"/>
        <v>19,000 đ</v>
      </c>
    </row>
    <row r="5" spans="1:10" x14ac:dyDescent="0.2">
      <c r="A5" s="2" t="s">
        <v>19</v>
      </c>
      <c r="B5" s="2" t="s">
        <v>20</v>
      </c>
      <c r="C5" s="2" t="s">
        <v>21</v>
      </c>
      <c r="D5" s="3">
        <v>89000</v>
      </c>
      <c r="E5" s="4" t="str">
        <f t="shared" si="0"/>
        <v>HD</v>
      </c>
      <c r="F5" s="4" t="str">
        <f t="shared" si="1"/>
        <v>2501</v>
      </c>
      <c r="G5" s="4" t="str">
        <f t="shared" si="2"/>
        <v>00040</v>
      </c>
      <c r="H5" s="4" t="str">
        <f t="shared" si="3"/>
        <v>MCI Mart Hạ Long</v>
      </c>
      <c r="I5" s="4" t="str">
        <f t="shared" si="4"/>
        <v>ST04 – MCI Mart Hạ Long</v>
      </c>
      <c r="J5" s="4" t="str">
        <f t="shared" si="5"/>
        <v>89,000 đ</v>
      </c>
    </row>
    <row r="6" spans="1:10" x14ac:dyDescent="0.2">
      <c r="A6" s="2" t="s">
        <v>22</v>
      </c>
      <c r="B6" s="2" t="s">
        <v>23</v>
      </c>
      <c r="C6" s="2" t="s">
        <v>24</v>
      </c>
      <c r="D6" s="3">
        <v>145000</v>
      </c>
      <c r="E6" s="4" t="str">
        <f t="shared" si="0"/>
        <v>HD</v>
      </c>
      <c r="F6" s="4" t="str">
        <f t="shared" si="1"/>
        <v>2501</v>
      </c>
      <c r="G6" s="4" t="str">
        <f t="shared" si="2"/>
        <v>00013</v>
      </c>
      <c r="H6" s="4" t="str">
        <f t="shared" si="3"/>
        <v>MCI Mart Hải Châu</v>
      </c>
      <c r="I6" s="4" t="str">
        <f t="shared" si="4"/>
        <v>ST05 – MCI Mart Hải Châu</v>
      </c>
      <c r="J6" s="4" t="str">
        <f t="shared" si="5"/>
        <v>145,000 đ</v>
      </c>
    </row>
    <row r="7" spans="1:10" x14ac:dyDescent="0.2">
      <c r="A7" s="2" t="s">
        <v>25</v>
      </c>
      <c r="B7" s="2" t="s">
        <v>26</v>
      </c>
      <c r="C7" s="2" t="s">
        <v>27</v>
      </c>
      <c r="D7" s="3">
        <v>345000</v>
      </c>
      <c r="E7" s="4" t="str">
        <f t="shared" si="0"/>
        <v>HD</v>
      </c>
      <c r="F7" s="4" t="str">
        <f t="shared" si="1"/>
        <v>2501</v>
      </c>
      <c r="G7" s="4" t="str">
        <f t="shared" si="2"/>
        <v>00044</v>
      </c>
      <c r="H7" s="4" t="str">
        <f t="shared" si="3"/>
        <v>MCI Mart Huế</v>
      </c>
      <c r="I7" s="4" t="str">
        <f t="shared" si="4"/>
        <v>ST06 – MCI Mart Huế</v>
      </c>
      <c r="J7" s="4" t="str">
        <f t="shared" si="5"/>
        <v>345,000 đ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baseColWidth="10" defaultColWidth="8.83203125" defaultRowHeight="15" x14ac:dyDescent="0.2"/>
  <cols>
    <col min="1" max="1" width="13" customWidth="1"/>
    <col min="2" max="2" width="20" customWidth="1"/>
    <col min="3" max="3" width="22" customWidth="1"/>
    <col min="4" max="4" width="18" customWidth="1"/>
    <col min="5" max="5" width="8" customWidth="1"/>
    <col min="6" max="7" width="12" customWidth="1"/>
    <col min="8" max="8" width="40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8" x14ac:dyDescent="0.2">
      <c r="A2" s="5">
        <v>45672</v>
      </c>
      <c r="B2" s="6">
        <f>EOMONTH(A2,0)</f>
        <v>45688</v>
      </c>
      <c r="C2" s="6">
        <f>EOMONTH(A2,-1)+1</f>
        <v>45658</v>
      </c>
      <c r="D2" s="4" t="str">
        <f>TEXT(A2,"mm/yyyy")</f>
        <v>01/2025</v>
      </c>
      <c r="E2" s="4" t="str">
        <f>"Q"&amp;ROUNDUP(MONTH(A2)/3,0)</f>
        <v>Q1</v>
      </c>
      <c r="F2" s="4" t="str">
        <f>TEXT(A2,"ddd")</f>
        <v>Wed</v>
      </c>
      <c r="G2" s="7">
        <f>WEEKDAY(A2,2)</f>
        <v>3</v>
      </c>
    </row>
    <row r="3" spans="1:8" x14ac:dyDescent="0.2">
      <c r="A3" s="5">
        <v>45686</v>
      </c>
      <c r="B3" s="6">
        <f>EOMONTH(A3,0)</f>
        <v>45688</v>
      </c>
      <c r="C3" s="6">
        <f>EOMONTH(A3,-1)+1</f>
        <v>45658</v>
      </c>
      <c r="D3" s="4" t="str">
        <f>TEXT(A3,"mm/yyyy")</f>
        <v>01/2025</v>
      </c>
      <c r="E3" s="4" t="str">
        <f>"Q"&amp;ROUNDUP(MONTH(A3)/3,0)</f>
        <v>Q1</v>
      </c>
      <c r="F3" s="4" t="str">
        <f>TEXT(A3,"ddd")</f>
        <v>Wed</v>
      </c>
      <c r="G3" s="7">
        <f>WEEKDAY(A3,2)</f>
        <v>3</v>
      </c>
    </row>
    <row r="4" spans="1:8" x14ac:dyDescent="0.2">
      <c r="A4" s="5">
        <v>45716</v>
      </c>
      <c r="B4" s="6">
        <f>EOMONTH(A4,0)</f>
        <v>45716</v>
      </c>
      <c r="C4" s="6">
        <f>EOMONTH(A4,-1)+1</f>
        <v>45689</v>
      </c>
      <c r="D4" s="4" t="str">
        <f>TEXT(A4,"mm/yyyy")</f>
        <v>02/2025</v>
      </c>
      <c r="E4" s="4" t="str">
        <f>"Q"&amp;ROUNDUP(MONTH(A4)/3,0)</f>
        <v>Q1</v>
      </c>
      <c r="F4" s="4" t="str">
        <f>TEXT(A4,"ddd")</f>
        <v>Fri</v>
      </c>
      <c r="G4" s="7">
        <f>WEEKDAY(A4,2)</f>
        <v>5</v>
      </c>
    </row>
    <row r="5" spans="1:8" x14ac:dyDescent="0.2">
      <c r="A5" s="5">
        <v>45724</v>
      </c>
      <c r="B5" s="6">
        <f>EOMONTH(A5,0)</f>
        <v>45747</v>
      </c>
      <c r="C5" s="6">
        <f>EOMONTH(A5,-1)+1</f>
        <v>45717</v>
      </c>
      <c r="D5" s="4" t="str">
        <f>TEXT(A5,"mm/yyyy")</f>
        <v>03/2025</v>
      </c>
      <c r="E5" s="4" t="str">
        <f>"Q"&amp;ROUNDUP(MONTH(A5)/3,0)</f>
        <v>Q1</v>
      </c>
      <c r="F5" s="4" t="str">
        <f>TEXT(A5,"ddd")</f>
        <v>Sat</v>
      </c>
      <c r="G5" s="7">
        <f>WEEKDAY(A5,2)</f>
        <v>6</v>
      </c>
    </row>
    <row r="8" spans="1:8" x14ac:dyDescent="0.2">
      <c r="A8" s="8" t="s">
        <v>35</v>
      </c>
    </row>
    <row r="9" spans="1:8" x14ac:dyDescent="0.2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H9" s="1" t="s">
        <v>41</v>
      </c>
    </row>
    <row r="10" spans="1:8" x14ac:dyDescent="0.2">
      <c r="A10" s="9">
        <v>1</v>
      </c>
      <c r="B10" s="6">
        <f>DATE(2025,A10,1)</f>
        <v>45658</v>
      </c>
      <c r="C10" s="6">
        <f>EOMONTH(B10,0)</f>
        <v>45688</v>
      </c>
      <c r="D10" s="4">
        <f>NETWORKDAYS(B10,C10)</f>
        <v>23</v>
      </c>
      <c r="E10" s="4">
        <f>NETWORKDAYS(B10,C10,$H$10:$H$15)</f>
        <v>17</v>
      </c>
      <c r="H10" s="5">
        <v>45658</v>
      </c>
    </row>
    <row r="11" spans="1:8" x14ac:dyDescent="0.2">
      <c r="A11" s="9">
        <v>2</v>
      </c>
      <c r="B11" s="6">
        <f>DATE(2025,A11,1)</f>
        <v>45689</v>
      </c>
      <c r="C11" s="6">
        <f>EOMONTH(B11,0)</f>
        <v>45716</v>
      </c>
      <c r="D11" s="4">
        <f>NETWORKDAYS(B11,C11)</f>
        <v>20</v>
      </c>
      <c r="E11" s="4">
        <f>NETWORKDAYS(B11,C11,$H$10:$H$15)</f>
        <v>20</v>
      </c>
      <c r="H11" s="5">
        <v>45684</v>
      </c>
    </row>
    <row r="12" spans="1:8" x14ac:dyDescent="0.2">
      <c r="A12" s="9">
        <v>3</v>
      </c>
      <c r="B12" s="6">
        <f>DATE(2025,A12,1)</f>
        <v>45717</v>
      </c>
      <c r="C12" s="6">
        <f>EOMONTH(B12,0)</f>
        <v>45747</v>
      </c>
      <c r="D12" s="4">
        <f>NETWORKDAYS(B12,C12)</f>
        <v>21</v>
      </c>
      <c r="E12" s="4">
        <f>NETWORKDAYS(B12,C12,$H$10:$H$15)</f>
        <v>21</v>
      </c>
      <c r="H12" s="5">
        <v>45685</v>
      </c>
    </row>
    <row r="13" spans="1:8" x14ac:dyDescent="0.2">
      <c r="H13" s="5">
        <v>45686</v>
      </c>
    </row>
    <row r="14" spans="1:8" x14ac:dyDescent="0.2">
      <c r="H14" s="5">
        <v>45687</v>
      </c>
    </row>
    <row r="15" spans="1:8" x14ac:dyDescent="0.2">
      <c r="H15" s="5">
        <v>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10" t="s">
        <v>42</v>
      </c>
    </row>
    <row r="3" spans="1:3" x14ac:dyDescent="0.2">
      <c r="A3" s="1" t="s">
        <v>43</v>
      </c>
      <c r="B3" s="1" t="s">
        <v>44</v>
      </c>
      <c r="C3" s="1" t="s">
        <v>45</v>
      </c>
    </row>
    <row r="4" spans="1:3" x14ac:dyDescent="0.2">
      <c r="A4" s="11">
        <v>26</v>
      </c>
      <c r="B4" s="11" t="s">
        <v>46</v>
      </c>
      <c r="C4" s="11" t="s">
        <v>47</v>
      </c>
    </row>
    <row r="5" spans="1:3" ht="28" x14ac:dyDescent="0.2">
      <c r="A5" s="11">
        <v>26</v>
      </c>
      <c r="B5" s="11" t="s">
        <v>48</v>
      </c>
      <c r="C5" s="11" t="s">
        <v>49</v>
      </c>
    </row>
    <row r="6" spans="1:3" ht="28" x14ac:dyDescent="0.2">
      <c r="A6" s="11">
        <v>26</v>
      </c>
      <c r="B6" s="11" t="s">
        <v>50</v>
      </c>
      <c r="C6" s="11" t="s">
        <v>51</v>
      </c>
    </row>
    <row r="7" spans="1:3" ht="56" x14ac:dyDescent="0.2">
      <c r="A7" s="11">
        <v>27</v>
      </c>
      <c r="B7" s="11" t="s">
        <v>52</v>
      </c>
      <c r="C7" s="11" t="s">
        <v>53</v>
      </c>
    </row>
    <row r="8" spans="1:3" ht="28" x14ac:dyDescent="0.2">
      <c r="A8" s="11">
        <v>27</v>
      </c>
      <c r="B8" s="11" t="s">
        <v>54</v>
      </c>
      <c r="C8" s="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Demo_Text</vt:lpstr>
      <vt:lpstr>Demo_Date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2026-09-27T06:05:51Z</dcterms:created>
  <dcterms:modified xsi:type="dcterms:W3CDTF">2026-09-27T06:13:24Z</dcterms:modified>
</cp:coreProperties>
</file>