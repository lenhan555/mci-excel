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920"/>
  <workbookPr/>
  <mc:AlternateContent xmlns:mc="http://schemas.openxmlformats.org/markup-compatibility/2006">
    <mc:Choice Requires="x15">
      <x15ac:absPath xmlns:x15ac="http://schemas.microsoft.com/office/spreadsheetml/2010/11/ac" url="https://d.docs.live.net/6366da15f1f739f9/MCI Excel/1_Sessions/B2_Ham_va_KPI/Demo/"/>
    </mc:Choice>
  </mc:AlternateContent>
  <xr:revisionPtr revIDLastSave="1" documentId="11_2843A95F29DA02A94BD0EF7DA578773FF7880E2B" xr6:coauthVersionLast="47" xr6:coauthVersionMax="47" xr10:uidLastSave="{5A32ADF7-4D55-804B-BEB8-464F67366229}"/>
  <bookViews>
    <workbookView xWindow="0" yWindow="780" windowWidth="36000" windowHeight="22600" xr2:uid="{00000000-000D-0000-FFFF-FFFF00000000}"/>
  </bookViews>
  <sheets>
    <sheet name="Demo_IF" sheetId="1" r:id="rId1"/>
    <sheet name="Huong_dan" sheetId="2" r:id="rId2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H2" i="1" l="1" a="1"/>
  <c r="L43" i="1"/>
  <c r="J43" i="1"/>
  <c r="K43" i="1" s="1"/>
  <c r="H43" i="1"/>
  <c r="F43" i="1"/>
  <c r="L42" i="1"/>
  <c r="J42" i="1"/>
  <c r="K42" i="1" s="1"/>
  <c r="H42" i="1"/>
  <c r="F42" i="1"/>
  <c r="L41" i="1"/>
  <c r="J41" i="1"/>
  <c r="K41" i="1" s="1"/>
  <c r="H41" i="1"/>
  <c r="F41" i="1"/>
  <c r="L40" i="1"/>
  <c r="J40" i="1"/>
  <c r="K40" i="1" s="1"/>
  <c r="H40" i="1"/>
  <c r="F40" i="1"/>
  <c r="L39" i="1"/>
  <c r="J39" i="1"/>
  <c r="K39" i="1" s="1"/>
  <c r="H39" i="1"/>
  <c r="F39" i="1"/>
  <c r="L38" i="1"/>
  <c r="J38" i="1"/>
  <c r="K38" i="1" s="1"/>
  <c r="H38" i="1"/>
  <c r="F38" i="1"/>
  <c r="L37" i="1"/>
  <c r="J37" i="1"/>
  <c r="K37" i="1" s="1"/>
  <c r="H37" i="1"/>
  <c r="F37" i="1"/>
  <c r="L36" i="1"/>
  <c r="J36" i="1"/>
  <c r="K36" i="1" s="1"/>
  <c r="H36" i="1"/>
  <c r="F36" i="1"/>
  <c r="L35" i="1"/>
  <c r="J35" i="1"/>
  <c r="K35" i="1" s="1"/>
  <c r="H35" i="1"/>
  <c r="F35" i="1"/>
  <c r="L34" i="1"/>
  <c r="J34" i="1"/>
  <c r="K34" i="1" s="1"/>
  <c r="H34" i="1"/>
  <c r="F34" i="1"/>
  <c r="L33" i="1"/>
  <c r="J33" i="1"/>
  <c r="K33" i="1" s="1"/>
  <c r="H33" i="1"/>
  <c r="F33" i="1"/>
  <c r="L32" i="1"/>
  <c r="J32" i="1"/>
  <c r="K32" i="1" s="1"/>
  <c r="H32" i="1"/>
  <c r="F32" i="1"/>
  <c r="L31" i="1"/>
  <c r="J31" i="1"/>
  <c r="K31" i="1" s="1"/>
  <c r="H31" i="1"/>
  <c r="F31" i="1"/>
  <c r="L30" i="1"/>
  <c r="J30" i="1"/>
  <c r="K30" i="1" s="1"/>
  <c r="H30" i="1"/>
  <c r="F30" i="1"/>
  <c r="L29" i="1"/>
  <c r="J29" i="1"/>
  <c r="K29" i="1" s="1"/>
  <c r="H29" i="1"/>
  <c r="F29" i="1"/>
  <c r="L28" i="1"/>
  <c r="J28" i="1"/>
  <c r="K28" i="1" s="1"/>
  <c r="H28" i="1"/>
  <c r="F28" i="1"/>
  <c r="L27" i="1"/>
  <c r="J27" i="1"/>
  <c r="K27" i="1" s="1"/>
  <c r="H27" i="1"/>
  <c r="F27" i="1"/>
  <c r="L26" i="1"/>
  <c r="J26" i="1"/>
  <c r="K26" i="1" s="1"/>
  <c r="H26" i="1"/>
  <c r="F26" i="1"/>
  <c r="L25" i="1"/>
  <c r="J25" i="1"/>
  <c r="K25" i="1" s="1"/>
  <c r="H25" i="1"/>
  <c r="F25" i="1"/>
  <c r="L24" i="1"/>
  <c r="J24" i="1"/>
  <c r="K24" i="1" s="1"/>
  <c r="H24" i="1"/>
  <c r="F24" i="1"/>
  <c r="L23" i="1"/>
  <c r="J23" i="1"/>
  <c r="K23" i="1" s="1"/>
  <c r="H23" i="1"/>
  <c r="F23" i="1"/>
  <c r="L22" i="1"/>
  <c r="J22" i="1"/>
  <c r="K22" i="1" s="1"/>
  <c r="H22" i="1"/>
  <c r="F22" i="1"/>
  <c r="L21" i="1"/>
  <c r="J21" i="1"/>
  <c r="K21" i="1" s="1"/>
  <c r="H21" i="1"/>
  <c r="F21" i="1"/>
  <c r="L20" i="1"/>
  <c r="J20" i="1"/>
  <c r="K20" i="1" s="1"/>
  <c r="H20" i="1"/>
  <c r="F20" i="1"/>
  <c r="L19" i="1"/>
  <c r="J19" i="1"/>
  <c r="K19" i="1" s="1"/>
  <c r="H19" i="1"/>
  <c r="F19" i="1"/>
  <c r="L18" i="1"/>
  <c r="J18" i="1"/>
  <c r="K18" i="1" s="1"/>
  <c r="H18" i="1"/>
  <c r="F18" i="1"/>
  <c r="L17" i="1"/>
  <c r="J17" i="1"/>
  <c r="K17" i="1" s="1"/>
  <c r="H17" i="1"/>
  <c r="F17" i="1"/>
  <c r="L16" i="1"/>
  <c r="J16" i="1"/>
  <c r="K16" i="1" s="1"/>
  <c r="H16" i="1"/>
  <c r="F16" i="1"/>
  <c r="L15" i="1"/>
  <c r="J15" i="1"/>
  <c r="K15" i="1" s="1"/>
  <c r="H15" i="1"/>
  <c r="F15" i="1"/>
  <c r="L14" i="1"/>
  <c r="J14" i="1"/>
  <c r="K14" i="1" s="1"/>
  <c r="H14" i="1"/>
  <c r="F14" i="1"/>
  <c r="L13" i="1"/>
  <c r="J13" i="1"/>
  <c r="K13" i="1" s="1"/>
  <c r="H13" i="1"/>
  <c r="F13" i="1"/>
  <c r="L12" i="1"/>
  <c r="J12" i="1"/>
  <c r="K12" i="1" s="1"/>
  <c r="H12" i="1"/>
  <c r="F12" i="1"/>
  <c r="L11" i="1"/>
  <c r="J11" i="1"/>
  <c r="K11" i="1" s="1"/>
  <c r="H11" i="1"/>
  <c r="D48" i="1" s="1"/>
  <c r="F11" i="1"/>
  <c r="L10" i="1"/>
  <c r="J10" i="1"/>
  <c r="K10" i="1" s="1"/>
  <c r="H10" i="1"/>
  <c r="F10" i="1"/>
  <c r="L9" i="1"/>
  <c r="J9" i="1"/>
  <c r="K9" i="1" s="1"/>
  <c r="H9" i="1"/>
  <c r="F9" i="1"/>
  <c r="L8" i="1"/>
  <c r="J8" i="1"/>
  <c r="K8" i="1" s="1"/>
  <c r="H8" i="1"/>
  <c r="F8" i="1"/>
  <c r="L7" i="1"/>
  <c r="J7" i="1"/>
  <c r="K7" i="1" s="1"/>
  <c r="H7" i="1"/>
  <c r="F7" i="1"/>
  <c r="L6" i="1"/>
  <c r="J6" i="1"/>
  <c r="K6" i="1" s="1"/>
  <c r="I6" i="1"/>
  <c r="H6" i="1"/>
  <c r="F6" i="1"/>
  <c r="G6" i="1" s="1"/>
  <c r="L5" i="1"/>
  <c r="J5" i="1"/>
  <c r="K5" i="1" s="1"/>
  <c r="H5" i="1"/>
  <c r="F5" i="1"/>
  <c r="L4" i="1"/>
  <c r="J4" i="1"/>
  <c r="K4" i="1" s="1"/>
  <c r="H4" i="1"/>
  <c r="F4" i="1"/>
  <c r="L3" i="1"/>
  <c r="J3" i="1"/>
  <c r="K3" i="1" s="1"/>
  <c r="H3" i="1"/>
  <c r="F3" i="1"/>
  <c r="L2" i="1"/>
  <c r="J2" i="1"/>
  <c r="F2" i="1"/>
  <c r="I19" i="1" l="1"/>
  <c r="G19" i="1"/>
  <c r="G36" i="1"/>
  <c r="I36" i="1"/>
  <c r="K2" i="1"/>
  <c r="D50" i="1"/>
  <c r="G43" i="1"/>
  <c r="I43" i="1"/>
  <c r="I42" i="1"/>
  <c r="G42" i="1"/>
  <c r="G41" i="1"/>
  <c r="I41" i="1"/>
  <c r="D47" i="1"/>
  <c r="I40" i="1"/>
  <c r="G40" i="1"/>
  <c r="G39" i="1"/>
  <c r="I39" i="1"/>
  <c r="I38" i="1"/>
  <c r="G38" i="1"/>
  <c r="G37" i="1"/>
  <c r="I37" i="1"/>
  <c r="I35" i="1"/>
  <c r="G35" i="1"/>
  <c r="I34" i="1"/>
  <c r="G34" i="1"/>
  <c r="G33" i="1"/>
  <c r="I33" i="1"/>
  <c r="G32" i="1"/>
  <c r="I32" i="1"/>
  <c r="I31" i="1"/>
  <c r="G31" i="1"/>
  <c r="G30" i="1"/>
  <c r="I30" i="1"/>
  <c r="I29" i="1"/>
  <c r="G29" i="1"/>
  <c r="I28" i="1"/>
  <c r="G28" i="1"/>
  <c r="I27" i="1"/>
  <c r="G27" i="1"/>
  <c r="G26" i="1"/>
  <c r="I26" i="1"/>
  <c r="G25" i="1"/>
  <c r="I25" i="1"/>
  <c r="I24" i="1"/>
  <c r="G24" i="1"/>
  <c r="I23" i="1"/>
  <c r="G23" i="1"/>
  <c r="I22" i="1"/>
  <c r="G22" i="1"/>
  <c r="I21" i="1"/>
  <c r="G21" i="1"/>
  <c r="G20" i="1"/>
  <c r="I20" i="1"/>
  <c r="G18" i="1"/>
  <c r="I18" i="1"/>
  <c r="I17" i="1"/>
  <c r="G17" i="1"/>
  <c r="I16" i="1"/>
  <c r="G16" i="1"/>
  <c r="I15" i="1"/>
  <c r="G15" i="1"/>
  <c r="I14" i="1"/>
  <c r="G14" i="1"/>
  <c r="G13" i="1"/>
  <c r="I13" i="1"/>
  <c r="G12" i="1"/>
  <c r="I12" i="1"/>
  <c r="I11" i="1"/>
  <c r="G11" i="1"/>
  <c r="I10" i="1"/>
  <c r="G10" i="1"/>
  <c r="G9" i="1"/>
  <c r="I9" i="1"/>
  <c r="G8" i="1"/>
  <c r="I8" i="1"/>
  <c r="G7" i="1"/>
  <c r="I7" i="1"/>
  <c r="I5" i="1"/>
  <c r="G5" i="1"/>
  <c r="I4" i="1"/>
  <c r="G4" i="1"/>
  <c r="I3" i="1"/>
  <c r="G3" i="1"/>
  <c r="G2" i="1"/>
  <c r="I2" i="1"/>
  <c r="D49" i="1" l="1"/>
  <c r="D46" i="1"/>
</calcChain>
</file>

<file path=xl/metadata.xml><?xml version="1.0" encoding="utf-8"?>
<metadata xmlns="http://schemas.openxmlformats.org/spreadsheetml/2006/main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<sst xmlns="http://schemas.openxmlformats.org/spreadsheetml/2006/main" count="158" uniqueCount="122">
  <si>
    <t>Product_Code</t>
  </si>
  <si>
    <t>Product_Name</t>
  </si>
  <si>
    <t>Category</t>
  </si>
  <si>
    <t>Unit_Price</t>
  </si>
  <si>
    <t>Unit_Cost</t>
  </si>
  <si>
    <t>Margin_%</t>
  </si>
  <si>
    <t>IF: Biên</t>
  </si>
  <si>
    <t>IFS: Phân khúc giá</t>
  </si>
  <si>
    <t>AND: Ưu tiên Tết</t>
  </si>
  <si>
    <t>OR: Thiết yếu</t>
  </si>
  <si>
    <t>NOT: Không thiết yếu</t>
  </si>
  <si>
    <t>IFERROR: Margin_%</t>
  </si>
  <si>
    <t>P001</t>
  </si>
  <si>
    <t>Nước suối 500ml (lốc 6 chai)</t>
  </si>
  <si>
    <t>Đồ uống</t>
  </si>
  <si>
    <t>P002</t>
  </si>
  <si>
    <t>Nước ngọt có ga 330ml (lốc 6 lon)</t>
  </si>
  <si>
    <t>P003</t>
  </si>
  <si>
    <t>Trà xanh đóng chai 455ml</t>
  </si>
  <si>
    <t>P004</t>
  </si>
  <si>
    <t>Cà phê hòa tan 3in1 (hộp 20 gói)</t>
  </si>
  <si>
    <t>P005</t>
  </si>
  <si>
    <t>Cà phê rang xay 500g</t>
  </si>
  <si>
    <t>P006</t>
  </si>
  <si>
    <t>Nước ép trái cây 1L</t>
  </si>
  <si>
    <t>P007</t>
  </si>
  <si>
    <t>Bia lon 330ml (thùng 24 lon)</t>
  </si>
  <si>
    <t>P008</t>
  </si>
  <si>
    <t>Sữa tươi tiệt trùng 1L</t>
  </si>
  <si>
    <t>Sữa</t>
  </si>
  <si>
    <t>P009</t>
  </si>
  <si>
    <t>Sữa tươi 180ml (lốc 4 hộp)</t>
  </si>
  <si>
    <t>P010</t>
  </si>
  <si>
    <t>Sữa chua ăn (lốc 4 hộp)</t>
  </si>
  <si>
    <t>P011</t>
  </si>
  <si>
    <t>Sữa bột trẻ em 800g</t>
  </si>
  <si>
    <t>P012</t>
  </si>
  <si>
    <t>Sữa đặc có đường 380g</t>
  </si>
  <si>
    <t>P013</t>
  </si>
  <si>
    <t>Mì ăn liền tôm chua cay (thùng 30 gói)</t>
  </si>
  <si>
    <t>Thực phẩm khô</t>
  </si>
  <si>
    <t>P014</t>
  </si>
  <si>
    <t>Gạo thơm 5kg</t>
  </si>
  <si>
    <t>P015</t>
  </si>
  <si>
    <t>Dầu ăn thực vật 1L</t>
  </si>
  <si>
    <t>P016</t>
  </si>
  <si>
    <t>Nước mắm 500ml</t>
  </si>
  <si>
    <t>P017</t>
  </si>
  <si>
    <t>Đường trắng 1kg</t>
  </si>
  <si>
    <t>P018</t>
  </si>
  <si>
    <t>Hạt nêm 400g</t>
  </si>
  <si>
    <t>P019</t>
  </si>
  <si>
    <t>Bún khô 500g</t>
  </si>
  <si>
    <t>P020</t>
  </si>
  <si>
    <t>Cá hộp sốt cà 155g</t>
  </si>
  <si>
    <t>P021</t>
  </si>
  <si>
    <t>Bánh quy bơ hộp thiếc 454g</t>
  </si>
  <si>
    <t>Bánh kẹo</t>
  </si>
  <si>
    <t>P022</t>
  </si>
  <si>
    <t>Kẹo trái cây hộp 250g</t>
  </si>
  <si>
    <t>P023</t>
  </si>
  <si>
    <t>Hạt điều rang muối 500g</t>
  </si>
  <si>
    <t>P024</t>
  </si>
  <si>
    <t>Mứt Tết thập cẩm 500g</t>
  </si>
  <si>
    <t>P025</t>
  </si>
  <si>
    <t>Socola thanh 100g</t>
  </si>
  <si>
    <t>P026</t>
  </si>
  <si>
    <t>Bánh snack khoai tây 90g</t>
  </si>
  <si>
    <t>P027</t>
  </si>
  <si>
    <t>Hộp quà Tết cao cấp</t>
  </si>
  <si>
    <t>P028</t>
  </si>
  <si>
    <t>Dầu gội 650ml</t>
  </si>
  <si>
    <t>Chăm sóc cá nhân</t>
  </si>
  <si>
    <t>P029</t>
  </si>
  <si>
    <t>Sữa tắm 800ml</t>
  </si>
  <si>
    <t>P030</t>
  </si>
  <si>
    <t>Kem đánh răng 230g</t>
  </si>
  <si>
    <t>P031</t>
  </si>
  <si>
    <t>Bàn chải đánh răng (vỉ 2)</t>
  </si>
  <si>
    <t>P032</t>
  </si>
  <si>
    <t>Khăn giấy rút (lốc 4 gói)</t>
  </si>
  <si>
    <t>P033</t>
  </si>
  <si>
    <t>Nước rửa tay 500ml</t>
  </si>
  <si>
    <t>P034</t>
  </si>
  <si>
    <t>Bột giặt 3kg</t>
  </si>
  <si>
    <t>Gia dụng</t>
  </si>
  <si>
    <t>P035</t>
  </si>
  <si>
    <t>Nước rửa chén 750ml</t>
  </si>
  <si>
    <t>P036</t>
  </si>
  <si>
    <t>Nước lau sàn 1L</t>
  </si>
  <si>
    <t>P037</t>
  </si>
  <si>
    <t>Túi đựng rác (cuộn 3)</t>
  </si>
  <si>
    <t>P038</t>
  </si>
  <si>
    <t>Hộp đựng thực phẩm (bộ 3)</t>
  </si>
  <si>
    <t>P039</t>
  </si>
  <si>
    <t>Chảo chống dính 26cm</t>
  </si>
  <si>
    <t>P040</t>
  </si>
  <si>
    <t>Nước xả vải 1.6L</t>
  </si>
  <si>
    <t>P041</t>
  </si>
  <si>
    <t>Trà sữa đóng chai 350ml (hàng mới, chưa có giá)</t>
  </si>
  <si>
    <t>P042</t>
  </si>
  <si>
    <t>Nồi cơm điện 1,8L (hàng mới, chưa có giá)</t>
  </si>
  <si>
    <t>Đếm</t>
  </si>
  <si>
    <t>Số SP “Biên cao”</t>
  </si>
  <si>
    <t>Số ô lỗi ở cột Margin_%</t>
  </si>
  <si>
    <t>Số SP phân khúc “Cao”</t>
  </si>
  <si>
    <t>Số SP “Ưu tiên Tết” (TRUE)</t>
  </si>
  <si>
    <t>Số SP thiết yếu (TRUE)</t>
  </si>
  <si>
    <t>DEMO B2 — HÀM LOGIC IF / IFS / AND / OR / NOT / IFERROR (slide 7, 8, 9)</t>
  </si>
  <si>
    <t>Slide</t>
  </si>
  <si>
    <t>Thao tác</t>
  </si>
  <si>
    <t>Kết quả mong đợi</t>
  </si>
  <si>
    <t>Sheet Demo_IF. Cột F là Margin_% = (Giá − Vốn) ÷ Giá. Chọn G2:G43, nhấn Delete, gõ lại G2: =IF(F2&gt;=35%,"Biên cao","Biên thấp") rồi kéo xuống G43.</t>
  </si>
  <si>
    <t>16 sản phẩm “Biên cao”, 24 “Biên thấp”; P041, P042 (dòng 42, 43) ra #DIV/0!.</t>
  </si>
  <si>
    <t>H2: =IFS(D2&gt;=100000,"Cao",D2&gt;=30000,"Trung",TRUE,"Thấp"), kéo xuống. Nhìn dòng P041, P042.</t>
  </si>
  <si>
    <t>12 sản phẩm phân khúc “Cao”. P041, P042 chưa có giá mà vẫn ra “Thấp”: ô trống được tính là 0.</t>
  </si>
  <si>
    <t>I2: =AND(C2="Bánh kẹo",F2&gt;=35%); J2: =OR(C2="Sữa",C2="Thực phẩm khô"); K2: =NOT(J2). Kéo xuống.</t>
  </si>
  <si>
    <t>AND: 7 sản phẩm TRUE (Bánh kẹo và biên ≥ 35%). OR: 13 sản phẩm TRUE. NOT đảo ngược cột J.</t>
  </si>
  <si>
    <t>L2: =IFERROR((D2-E2)/D2,"Chưa có giá"), kéo xuống. Thử đổi giá trị thay thế thành 0: =IFERROR((D2-E2)/D2,0).</t>
  </si>
  <si>
    <t>P041, P042 hiện “Chưa có giá”. Nếu thay bằng 0, hai sản phẩm hiện Margin 0% — con số sai mà trông như thật.</t>
  </si>
  <si>
    <t>Gõ giá cho P041 ở D42: 25000.</t>
  </si>
  <si>
    <t>Mọi cột của dòng P041 tự tính lại; Margin_% = 44,0%.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</si>
</sst>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%"/>
  </numFmts>
  <fonts count="6" x14ac:knownFonts="1">
    <font>
      <sz val="11"/>
      <color theme="1"/>
      <name val="Calibri"/>
      <family val="2"/>
      <scheme val="minor"/>
    </font>
    <font>
      <b/>
      <sz val="11"/>
      <color rgb="FFFFFFFF"/>
      <name val="Arial"/>
      <family val="2"/>
    </font>
    <font>
      <sz val="10"/>
      <name val="Arial"/>
      <family val="2"/>
    </font>
    <font>
      <sz val="10"/>
      <color rgb="FF0000FF"/>
      <name val="Arial"/>
      <family val="2"/>
    </font>
    <font>
      <b/>
      <sz val="10"/>
      <name val="Arial"/>
      <family val="2"/>
    </font>
    <font>
      <b/>
      <sz val="14"/>
      <color rgb="FF203864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rgb="FF2038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9">
    <xf numFmtId="0" fontId="0" fillId="0" borderId="0" xfId="0"/>
    <xf numFmtId="0" fontId="1" fillId="2" borderId="0" xfId="0" applyFont="1" applyFill="1"/>
    <xf numFmtId="0" fontId="2" fillId="0" borderId="0" xfId="0" applyFont="1"/>
    <xf numFmtId="3" fontId="3" fillId="0" borderId="0" xfId="0" applyNumberFormat="1" applyFont="1"/>
    <xf numFmtId="3" fontId="2" fillId="0" borderId="0" xfId="0" applyNumberFormat="1" applyFont="1"/>
    <xf numFmtId="164" fontId="2" fillId="0" borderId="0" xfId="0" applyNumberFormat="1" applyFont="1"/>
    <xf numFmtId="0" fontId="4" fillId="0" borderId="0" xfId="0" applyFont="1"/>
    <xf numFmtId="0" fontId="5" fillId="0" borderId="0" xfId="0" applyFont="1"/>
    <xf numFmtId="0" fontId="2" fillId="0" borderId="0" xfId="0" applyFont="1" applyAlignment="1">
      <alignment vertical="top" wrapText="1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eetMetadata" Target="metadata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L50"/>
  <sheetViews>
    <sheetView tabSelected="1" workbookViewId="0">
      <pane xSplit="1" ySplit="1" topLeftCell="B2" activePane="bottomRight" state="frozen"/>
      <selection pane="topRight"/>
      <selection pane="bottomLeft"/>
      <selection pane="bottomRight" activeCell="H3" sqref="H3"/>
    </sheetView>
  </sheetViews>
  <sheetFormatPr baseColWidth="10" defaultColWidth="8.83203125" defaultRowHeight="15" x14ac:dyDescent="0.2"/>
  <cols>
    <col min="1" max="1" width="12" customWidth="1"/>
    <col min="2" max="2" width="44" customWidth="1"/>
    <col min="3" max="3" width="16" customWidth="1"/>
    <col min="4" max="5" width="11" customWidth="1"/>
    <col min="6" max="6" width="10" customWidth="1"/>
    <col min="7" max="7" width="11" customWidth="1"/>
    <col min="8" max="9" width="12" customWidth="1"/>
    <col min="10" max="10" width="11" customWidth="1"/>
    <col min="11" max="11" width="13" customWidth="1"/>
    <col min="12" max="12" width="14" customWidth="1"/>
  </cols>
  <sheetData>
    <row r="1" spans="1:12" x14ac:dyDescent="0.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</row>
    <row r="2" spans="1:12" x14ac:dyDescent="0.2">
      <c r="A2" s="2" t="s">
        <v>12</v>
      </c>
      <c r="B2" s="2" t="s">
        <v>13</v>
      </c>
      <c r="C2" s="2" t="s">
        <v>14</v>
      </c>
      <c r="D2" s="3">
        <v>32000</v>
      </c>
      <c r="E2" s="4">
        <v>23000</v>
      </c>
      <c r="F2" s="5">
        <f t="shared" ref="F2:F43" si="0">(D2-E2)/D2</f>
        <v>0.28125</v>
      </c>
      <c r="G2" s="2" t="str">
        <f t="shared" ref="G2:G43" si="1">IF(F2&gt;=35%,"Biên cao","Biên thấp")</f>
        <v>Biên thấp</v>
      </c>
      <c r="H2" s="2" t="str" cm="1">
        <f t="array" ref="H2">_xlfn.IFS(D2&gt;=100000,"Cao",D2&gt;=30000,"Trung",TRUE,"Thấp")</f>
        <v>Trung</v>
      </c>
      <c r="I2" s="2" t="b">
        <f t="shared" ref="I2:I43" si="2">AND(C2="Bánh kẹo",F2&gt;=35%)</f>
        <v>0</v>
      </c>
      <c r="J2" s="2" t="b">
        <f t="shared" ref="J2:J43" si="3">OR(C2="Sữa",C2="Thực phẩm khô")</f>
        <v>0</v>
      </c>
      <c r="K2" s="2" t="b">
        <f t="shared" ref="K2:K43" si="4">NOT(J2)</f>
        <v>1</v>
      </c>
      <c r="L2" s="5">
        <f t="shared" ref="L2:L43" si="5">IFERROR((D2-E2)/D2,"Chưa có giá")</f>
        <v>0.28125</v>
      </c>
    </row>
    <row r="3" spans="1:12" x14ac:dyDescent="0.2">
      <c r="A3" s="2" t="s">
        <v>15</v>
      </c>
      <c r="B3" s="2" t="s">
        <v>16</v>
      </c>
      <c r="C3" s="2" t="s">
        <v>14</v>
      </c>
      <c r="D3" s="3">
        <v>58000</v>
      </c>
      <c r="E3" s="4">
        <v>43000</v>
      </c>
      <c r="F3" s="5">
        <f t="shared" si="0"/>
        <v>0.25862068965517243</v>
      </c>
      <c r="G3" s="2" t="str">
        <f t="shared" si="1"/>
        <v>Biên thấp</v>
      </c>
      <c r="H3" s="2" t="str">
        <f t="shared" ref="H2:H43" si="6">_xlfn.IFS(D3&gt;=100000,"Cao",D3&gt;=30000,"Trung",TRUE,"Thấp")</f>
        <v>Trung</v>
      </c>
      <c r="I3" s="2" t="b">
        <f t="shared" si="2"/>
        <v>0</v>
      </c>
      <c r="J3" s="2" t="b">
        <f t="shared" si="3"/>
        <v>0</v>
      </c>
      <c r="K3" s="2" t="b">
        <f t="shared" si="4"/>
        <v>1</v>
      </c>
      <c r="L3" s="5">
        <f t="shared" si="5"/>
        <v>0.25862068965517243</v>
      </c>
    </row>
    <row r="4" spans="1:12" x14ac:dyDescent="0.2">
      <c r="A4" s="2" t="s">
        <v>17</v>
      </c>
      <c r="B4" s="2" t="s">
        <v>18</v>
      </c>
      <c r="C4" s="2" t="s">
        <v>14</v>
      </c>
      <c r="D4" s="3">
        <v>10000</v>
      </c>
      <c r="E4" s="4">
        <v>7000</v>
      </c>
      <c r="F4" s="5">
        <f t="shared" si="0"/>
        <v>0.3</v>
      </c>
      <c r="G4" s="2" t="str">
        <f t="shared" si="1"/>
        <v>Biên thấp</v>
      </c>
      <c r="H4" s="2" t="str">
        <f t="shared" si="6"/>
        <v>Thấp</v>
      </c>
      <c r="I4" s="2" t="b">
        <f t="shared" si="2"/>
        <v>0</v>
      </c>
      <c r="J4" s="2" t="b">
        <f t="shared" si="3"/>
        <v>0</v>
      </c>
      <c r="K4" s="2" t="b">
        <f t="shared" si="4"/>
        <v>1</v>
      </c>
      <c r="L4" s="5">
        <f t="shared" si="5"/>
        <v>0.3</v>
      </c>
    </row>
    <row r="5" spans="1:12" x14ac:dyDescent="0.2">
      <c r="A5" s="2" t="s">
        <v>19</v>
      </c>
      <c r="B5" s="2" t="s">
        <v>20</v>
      </c>
      <c r="C5" s="2" t="s">
        <v>14</v>
      </c>
      <c r="D5" s="3">
        <v>62000</v>
      </c>
      <c r="E5" s="4">
        <v>42000</v>
      </c>
      <c r="F5" s="5">
        <f t="shared" si="0"/>
        <v>0.32258064516129031</v>
      </c>
      <c r="G5" s="2" t="str">
        <f t="shared" si="1"/>
        <v>Biên thấp</v>
      </c>
      <c r="H5" s="2" t="str">
        <f t="shared" si="6"/>
        <v>Trung</v>
      </c>
      <c r="I5" s="2" t="b">
        <f t="shared" si="2"/>
        <v>0</v>
      </c>
      <c r="J5" s="2" t="b">
        <f t="shared" si="3"/>
        <v>0</v>
      </c>
      <c r="K5" s="2" t="b">
        <f t="shared" si="4"/>
        <v>1</v>
      </c>
      <c r="L5" s="5">
        <f t="shared" si="5"/>
        <v>0.32258064516129031</v>
      </c>
    </row>
    <row r="6" spans="1:12" x14ac:dyDescent="0.2">
      <c r="A6" s="2" t="s">
        <v>21</v>
      </c>
      <c r="B6" s="2" t="s">
        <v>22</v>
      </c>
      <c r="C6" s="2" t="s">
        <v>14</v>
      </c>
      <c r="D6" s="3">
        <v>135000</v>
      </c>
      <c r="E6" s="4">
        <v>83500</v>
      </c>
      <c r="F6" s="5">
        <f t="shared" si="0"/>
        <v>0.38148148148148148</v>
      </c>
      <c r="G6" s="2" t="str">
        <f t="shared" si="1"/>
        <v>Biên cao</v>
      </c>
      <c r="H6" s="2" t="str">
        <f t="shared" si="6"/>
        <v>Cao</v>
      </c>
      <c r="I6" s="2" t="b">
        <f t="shared" si="2"/>
        <v>0</v>
      </c>
      <c r="J6" s="2" t="b">
        <f t="shared" si="3"/>
        <v>0</v>
      </c>
      <c r="K6" s="2" t="b">
        <f t="shared" si="4"/>
        <v>1</v>
      </c>
      <c r="L6" s="5">
        <f t="shared" si="5"/>
        <v>0.38148148148148148</v>
      </c>
    </row>
    <row r="7" spans="1:12" x14ac:dyDescent="0.2">
      <c r="A7" s="2" t="s">
        <v>23</v>
      </c>
      <c r="B7" s="2" t="s">
        <v>24</v>
      </c>
      <c r="C7" s="2" t="s">
        <v>14</v>
      </c>
      <c r="D7" s="3">
        <v>45000</v>
      </c>
      <c r="E7" s="4">
        <v>31500</v>
      </c>
      <c r="F7" s="5">
        <f t="shared" si="0"/>
        <v>0.3</v>
      </c>
      <c r="G7" s="2" t="str">
        <f t="shared" si="1"/>
        <v>Biên thấp</v>
      </c>
      <c r="H7" s="2" t="str">
        <f t="shared" si="6"/>
        <v>Trung</v>
      </c>
      <c r="I7" s="2" t="b">
        <f t="shared" si="2"/>
        <v>0</v>
      </c>
      <c r="J7" s="2" t="b">
        <f t="shared" si="3"/>
        <v>0</v>
      </c>
      <c r="K7" s="2" t="b">
        <f t="shared" si="4"/>
        <v>1</v>
      </c>
      <c r="L7" s="5">
        <f t="shared" si="5"/>
        <v>0.3</v>
      </c>
    </row>
    <row r="8" spans="1:12" x14ac:dyDescent="0.2">
      <c r="A8" s="2" t="s">
        <v>25</v>
      </c>
      <c r="B8" s="2" t="s">
        <v>26</v>
      </c>
      <c r="C8" s="2" t="s">
        <v>14</v>
      </c>
      <c r="D8" s="3">
        <v>345000</v>
      </c>
      <c r="E8" s="4">
        <v>283000</v>
      </c>
      <c r="F8" s="5">
        <f t="shared" si="0"/>
        <v>0.17971014492753623</v>
      </c>
      <c r="G8" s="2" t="str">
        <f t="shared" si="1"/>
        <v>Biên thấp</v>
      </c>
      <c r="H8" s="2" t="str">
        <f t="shared" si="6"/>
        <v>Cao</v>
      </c>
      <c r="I8" s="2" t="b">
        <f t="shared" si="2"/>
        <v>0</v>
      </c>
      <c r="J8" s="2" t="b">
        <f t="shared" si="3"/>
        <v>0</v>
      </c>
      <c r="K8" s="2" t="b">
        <f t="shared" si="4"/>
        <v>1</v>
      </c>
      <c r="L8" s="5">
        <f t="shared" si="5"/>
        <v>0.17971014492753623</v>
      </c>
    </row>
    <row r="9" spans="1:12" x14ac:dyDescent="0.2">
      <c r="A9" s="2" t="s">
        <v>27</v>
      </c>
      <c r="B9" s="2" t="s">
        <v>28</v>
      </c>
      <c r="C9" s="2" t="s">
        <v>29</v>
      </c>
      <c r="D9" s="3">
        <v>36000</v>
      </c>
      <c r="E9" s="4">
        <v>28000</v>
      </c>
      <c r="F9" s="5">
        <f t="shared" si="0"/>
        <v>0.22222222222222221</v>
      </c>
      <c r="G9" s="2" t="str">
        <f t="shared" si="1"/>
        <v>Biên thấp</v>
      </c>
      <c r="H9" s="2" t="str">
        <f t="shared" si="6"/>
        <v>Trung</v>
      </c>
      <c r="I9" s="2" t="b">
        <f t="shared" si="2"/>
        <v>0</v>
      </c>
      <c r="J9" s="2" t="b">
        <f t="shared" si="3"/>
        <v>1</v>
      </c>
      <c r="K9" s="2" t="b">
        <f t="shared" si="4"/>
        <v>0</v>
      </c>
      <c r="L9" s="5">
        <f t="shared" si="5"/>
        <v>0.22222222222222221</v>
      </c>
    </row>
    <row r="10" spans="1:12" x14ac:dyDescent="0.2">
      <c r="A10" s="2" t="s">
        <v>30</v>
      </c>
      <c r="B10" s="2" t="s">
        <v>31</v>
      </c>
      <c r="C10" s="2" t="s">
        <v>29</v>
      </c>
      <c r="D10" s="3">
        <v>32000</v>
      </c>
      <c r="E10" s="4">
        <v>25000</v>
      </c>
      <c r="F10" s="5">
        <f t="shared" si="0"/>
        <v>0.21875</v>
      </c>
      <c r="G10" s="2" t="str">
        <f t="shared" si="1"/>
        <v>Biên thấp</v>
      </c>
      <c r="H10" s="2" t="str">
        <f t="shared" si="6"/>
        <v>Trung</v>
      </c>
      <c r="I10" s="2" t="b">
        <f t="shared" si="2"/>
        <v>0</v>
      </c>
      <c r="J10" s="2" t="b">
        <f t="shared" si="3"/>
        <v>1</v>
      </c>
      <c r="K10" s="2" t="b">
        <f t="shared" si="4"/>
        <v>0</v>
      </c>
      <c r="L10" s="5">
        <f t="shared" si="5"/>
        <v>0.21875</v>
      </c>
    </row>
    <row r="11" spans="1:12" x14ac:dyDescent="0.2">
      <c r="A11" s="2" t="s">
        <v>32</v>
      </c>
      <c r="B11" s="2" t="s">
        <v>33</v>
      </c>
      <c r="C11" s="2" t="s">
        <v>29</v>
      </c>
      <c r="D11" s="3">
        <v>28000</v>
      </c>
      <c r="E11" s="4">
        <v>20000</v>
      </c>
      <c r="F11" s="5">
        <f t="shared" si="0"/>
        <v>0.2857142857142857</v>
      </c>
      <c r="G11" s="2" t="str">
        <f t="shared" si="1"/>
        <v>Biên thấp</v>
      </c>
      <c r="H11" s="2" t="str">
        <f t="shared" si="6"/>
        <v>Thấp</v>
      </c>
      <c r="I11" s="2" t="b">
        <f t="shared" si="2"/>
        <v>0</v>
      </c>
      <c r="J11" s="2" t="b">
        <f t="shared" si="3"/>
        <v>1</v>
      </c>
      <c r="K11" s="2" t="b">
        <f t="shared" si="4"/>
        <v>0</v>
      </c>
      <c r="L11" s="5">
        <f t="shared" si="5"/>
        <v>0.2857142857142857</v>
      </c>
    </row>
    <row r="12" spans="1:12" x14ac:dyDescent="0.2">
      <c r="A12" s="2" t="s">
        <v>34</v>
      </c>
      <c r="B12" s="2" t="s">
        <v>35</v>
      </c>
      <c r="C12" s="2" t="s">
        <v>29</v>
      </c>
      <c r="D12" s="3">
        <v>485000</v>
      </c>
      <c r="E12" s="4">
        <v>388000</v>
      </c>
      <c r="F12" s="5">
        <f t="shared" si="0"/>
        <v>0.2</v>
      </c>
      <c r="G12" s="2" t="str">
        <f t="shared" si="1"/>
        <v>Biên thấp</v>
      </c>
      <c r="H12" s="2" t="str">
        <f t="shared" si="6"/>
        <v>Cao</v>
      </c>
      <c r="I12" s="2" t="b">
        <f t="shared" si="2"/>
        <v>0</v>
      </c>
      <c r="J12" s="2" t="b">
        <f t="shared" si="3"/>
        <v>1</v>
      </c>
      <c r="K12" s="2" t="b">
        <f t="shared" si="4"/>
        <v>0</v>
      </c>
      <c r="L12" s="5">
        <f t="shared" si="5"/>
        <v>0.2</v>
      </c>
    </row>
    <row r="13" spans="1:12" x14ac:dyDescent="0.2">
      <c r="A13" s="2" t="s">
        <v>36</v>
      </c>
      <c r="B13" s="2" t="s">
        <v>37</v>
      </c>
      <c r="C13" s="2" t="s">
        <v>29</v>
      </c>
      <c r="D13" s="3">
        <v>26000</v>
      </c>
      <c r="E13" s="4">
        <v>20000</v>
      </c>
      <c r="F13" s="5">
        <f t="shared" si="0"/>
        <v>0.23076923076923078</v>
      </c>
      <c r="G13" s="2" t="str">
        <f t="shared" si="1"/>
        <v>Biên thấp</v>
      </c>
      <c r="H13" s="2" t="str">
        <f t="shared" si="6"/>
        <v>Thấp</v>
      </c>
      <c r="I13" s="2" t="b">
        <f t="shared" si="2"/>
        <v>0</v>
      </c>
      <c r="J13" s="2" t="b">
        <f t="shared" si="3"/>
        <v>1</v>
      </c>
      <c r="K13" s="2" t="b">
        <f t="shared" si="4"/>
        <v>0</v>
      </c>
      <c r="L13" s="5">
        <f t="shared" si="5"/>
        <v>0.23076923076923078</v>
      </c>
    </row>
    <row r="14" spans="1:12" x14ac:dyDescent="0.2">
      <c r="A14" s="2" t="s">
        <v>38</v>
      </c>
      <c r="B14" s="2" t="s">
        <v>39</v>
      </c>
      <c r="C14" s="2" t="s">
        <v>40</v>
      </c>
      <c r="D14" s="3">
        <v>128000</v>
      </c>
      <c r="E14" s="4">
        <v>102500</v>
      </c>
      <c r="F14" s="5">
        <f t="shared" si="0"/>
        <v>0.19921875</v>
      </c>
      <c r="G14" s="2" t="str">
        <f t="shared" si="1"/>
        <v>Biên thấp</v>
      </c>
      <c r="H14" s="2" t="str">
        <f t="shared" si="6"/>
        <v>Cao</v>
      </c>
      <c r="I14" s="2" t="b">
        <f t="shared" si="2"/>
        <v>0</v>
      </c>
      <c r="J14" s="2" t="b">
        <f t="shared" si="3"/>
        <v>1</v>
      </c>
      <c r="K14" s="2" t="b">
        <f t="shared" si="4"/>
        <v>0</v>
      </c>
      <c r="L14" s="5">
        <f t="shared" si="5"/>
        <v>0.19921875</v>
      </c>
    </row>
    <row r="15" spans="1:12" x14ac:dyDescent="0.2">
      <c r="A15" s="2" t="s">
        <v>41</v>
      </c>
      <c r="B15" s="2" t="s">
        <v>42</v>
      </c>
      <c r="C15" s="2" t="s">
        <v>40</v>
      </c>
      <c r="D15" s="3">
        <v>145000</v>
      </c>
      <c r="E15" s="4">
        <v>119000</v>
      </c>
      <c r="F15" s="5">
        <f t="shared" si="0"/>
        <v>0.1793103448275862</v>
      </c>
      <c r="G15" s="2" t="str">
        <f t="shared" si="1"/>
        <v>Biên thấp</v>
      </c>
      <c r="H15" s="2" t="str">
        <f t="shared" si="6"/>
        <v>Cao</v>
      </c>
      <c r="I15" s="2" t="b">
        <f t="shared" si="2"/>
        <v>0</v>
      </c>
      <c r="J15" s="2" t="b">
        <f t="shared" si="3"/>
        <v>1</v>
      </c>
      <c r="K15" s="2" t="b">
        <f t="shared" si="4"/>
        <v>0</v>
      </c>
      <c r="L15" s="5">
        <f t="shared" si="5"/>
        <v>0.1793103448275862</v>
      </c>
    </row>
    <row r="16" spans="1:12" x14ac:dyDescent="0.2">
      <c r="A16" s="2" t="s">
        <v>43</v>
      </c>
      <c r="B16" s="2" t="s">
        <v>44</v>
      </c>
      <c r="C16" s="2" t="s">
        <v>40</v>
      </c>
      <c r="D16" s="3">
        <v>52000</v>
      </c>
      <c r="E16" s="4">
        <v>41500</v>
      </c>
      <c r="F16" s="5">
        <f t="shared" si="0"/>
        <v>0.20192307692307693</v>
      </c>
      <c r="G16" s="2" t="str">
        <f t="shared" si="1"/>
        <v>Biên thấp</v>
      </c>
      <c r="H16" s="2" t="str">
        <f t="shared" si="6"/>
        <v>Trung</v>
      </c>
      <c r="I16" s="2" t="b">
        <f t="shared" si="2"/>
        <v>0</v>
      </c>
      <c r="J16" s="2" t="b">
        <f t="shared" si="3"/>
        <v>1</v>
      </c>
      <c r="K16" s="2" t="b">
        <f t="shared" si="4"/>
        <v>0</v>
      </c>
      <c r="L16" s="5">
        <f t="shared" si="5"/>
        <v>0.20192307692307693</v>
      </c>
    </row>
    <row r="17" spans="1:12" x14ac:dyDescent="0.2">
      <c r="A17" s="2" t="s">
        <v>45</v>
      </c>
      <c r="B17" s="2" t="s">
        <v>46</v>
      </c>
      <c r="C17" s="2" t="s">
        <v>40</v>
      </c>
      <c r="D17" s="3">
        <v>38000</v>
      </c>
      <c r="E17" s="4">
        <v>26500</v>
      </c>
      <c r="F17" s="5">
        <f t="shared" si="0"/>
        <v>0.30263157894736842</v>
      </c>
      <c r="G17" s="2" t="str">
        <f t="shared" si="1"/>
        <v>Biên thấp</v>
      </c>
      <c r="H17" s="2" t="str">
        <f t="shared" si="6"/>
        <v>Trung</v>
      </c>
      <c r="I17" s="2" t="b">
        <f t="shared" si="2"/>
        <v>0</v>
      </c>
      <c r="J17" s="2" t="b">
        <f t="shared" si="3"/>
        <v>1</v>
      </c>
      <c r="K17" s="2" t="b">
        <f t="shared" si="4"/>
        <v>0</v>
      </c>
      <c r="L17" s="5">
        <f t="shared" si="5"/>
        <v>0.30263157894736842</v>
      </c>
    </row>
    <row r="18" spans="1:12" x14ac:dyDescent="0.2">
      <c r="A18" s="2" t="s">
        <v>47</v>
      </c>
      <c r="B18" s="2" t="s">
        <v>48</v>
      </c>
      <c r="C18" s="2" t="s">
        <v>40</v>
      </c>
      <c r="D18" s="3">
        <v>27000</v>
      </c>
      <c r="E18" s="4">
        <v>22500</v>
      </c>
      <c r="F18" s="5">
        <f t="shared" si="0"/>
        <v>0.16666666666666666</v>
      </c>
      <c r="G18" s="2" t="str">
        <f t="shared" si="1"/>
        <v>Biên thấp</v>
      </c>
      <c r="H18" s="2" t="str">
        <f t="shared" si="6"/>
        <v>Thấp</v>
      </c>
      <c r="I18" s="2" t="b">
        <f t="shared" si="2"/>
        <v>0</v>
      </c>
      <c r="J18" s="2" t="b">
        <f t="shared" si="3"/>
        <v>1</v>
      </c>
      <c r="K18" s="2" t="b">
        <f t="shared" si="4"/>
        <v>0</v>
      </c>
      <c r="L18" s="5">
        <f t="shared" si="5"/>
        <v>0.16666666666666666</v>
      </c>
    </row>
    <row r="19" spans="1:12" x14ac:dyDescent="0.2">
      <c r="A19" s="2" t="s">
        <v>49</v>
      </c>
      <c r="B19" s="2" t="s">
        <v>50</v>
      </c>
      <c r="C19" s="2" t="s">
        <v>40</v>
      </c>
      <c r="D19" s="3">
        <v>42000</v>
      </c>
      <c r="E19" s="4">
        <v>30000</v>
      </c>
      <c r="F19" s="5">
        <f t="shared" si="0"/>
        <v>0.2857142857142857</v>
      </c>
      <c r="G19" s="2" t="str">
        <f t="shared" si="1"/>
        <v>Biên thấp</v>
      </c>
      <c r="H19" s="2" t="str">
        <f t="shared" si="6"/>
        <v>Trung</v>
      </c>
      <c r="I19" s="2" t="b">
        <f t="shared" si="2"/>
        <v>0</v>
      </c>
      <c r="J19" s="2" t="b">
        <f t="shared" si="3"/>
        <v>1</v>
      </c>
      <c r="K19" s="2" t="b">
        <f t="shared" si="4"/>
        <v>0</v>
      </c>
      <c r="L19" s="5">
        <f t="shared" si="5"/>
        <v>0.2857142857142857</v>
      </c>
    </row>
    <row r="20" spans="1:12" x14ac:dyDescent="0.2">
      <c r="A20" s="2" t="s">
        <v>51</v>
      </c>
      <c r="B20" s="2" t="s">
        <v>52</v>
      </c>
      <c r="C20" s="2" t="s">
        <v>40</v>
      </c>
      <c r="D20" s="3">
        <v>24000</v>
      </c>
      <c r="E20" s="4">
        <v>17000</v>
      </c>
      <c r="F20" s="5">
        <f t="shared" si="0"/>
        <v>0.29166666666666669</v>
      </c>
      <c r="G20" s="2" t="str">
        <f t="shared" si="1"/>
        <v>Biên thấp</v>
      </c>
      <c r="H20" s="2" t="str">
        <f t="shared" si="6"/>
        <v>Thấp</v>
      </c>
      <c r="I20" s="2" t="b">
        <f t="shared" si="2"/>
        <v>0</v>
      </c>
      <c r="J20" s="2" t="b">
        <f t="shared" si="3"/>
        <v>1</v>
      </c>
      <c r="K20" s="2" t="b">
        <f t="shared" si="4"/>
        <v>0</v>
      </c>
      <c r="L20" s="5">
        <f t="shared" si="5"/>
        <v>0.29166666666666669</v>
      </c>
    </row>
    <row r="21" spans="1:12" x14ac:dyDescent="0.2">
      <c r="A21" s="2" t="s">
        <v>53</v>
      </c>
      <c r="B21" s="2" t="s">
        <v>54</v>
      </c>
      <c r="C21" s="2" t="s">
        <v>40</v>
      </c>
      <c r="D21" s="3">
        <v>22000</v>
      </c>
      <c r="E21" s="4">
        <v>16000</v>
      </c>
      <c r="F21" s="5">
        <f t="shared" si="0"/>
        <v>0.27272727272727271</v>
      </c>
      <c r="G21" s="2" t="str">
        <f t="shared" si="1"/>
        <v>Biên thấp</v>
      </c>
      <c r="H21" s="2" t="str">
        <f t="shared" si="6"/>
        <v>Thấp</v>
      </c>
      <c r="I21" s="2" t="b">
        <f t="shared" si="2"/>
        <v>0</v>
      </c>
      <c r="J21" s="2" t="b">
        <f t="shared" si="3"/>
        <v>1</v>
      </c>
      <c r="K21" s="2" t="b">
        <f t="shared" si="4"/>
        <v>0</v>
      </c>
      <c r="L21" s="5">
        <f t="shared" si="5"/>
        <v>0.27272727272727271</v>
      </c>
    </row>
    <row r="22" spans="1:12" x14ac:dyDescent="0.2">
      <c r="A22" s="2" t="s">
        <v>55</v>
      </c>
      <c r="B22" s="2" t="s">
        <v>56</v>
      </c>
      <c r="C22" s="2" t="s">
        <v>57</v>
      </c>
      <c r="D22" s="3">
        <v>115000</v>
      </c>
      <c r="E22" s="4">
        <v>69000</v>
      </c>
      <c r="F22" s="5">
        <f t="shared" si="0"/>
        <v>0.4</v>
      </c>
      <c r="G22" s="2" t="str">
        <f t="shared" si="1"/>
        <v>Biên cao</v>
      </c>
      <c r="H22" s="2" t="str">
        <f t="shared" si="6"/>
        <v>Cao</v>
      </c>
      <c r="I22" s="2" t="b">
        <f t="shared" si="2"/>
        <v>1</v>
      </c>
      <c r="J22" s="2" t="b">
        <f t="shared" si="3"/>
        <v>0</v>
      </c>
      <c r="K22" s="2" t="b">
        <f t="shared" si="4"/>
        <v>1</v>
      </c>
      <c r="L22" s="5">
        <f t="shared" si="5"/>
        <v>0.4</v>
      </c>
    </row>
    <row r="23" spans="1:12" x14ac:dyDescent="0.2">
      <c r="A23" s="2" t="s">
        <v>58</v>
      </c>
      <c r="B23" s="2" t="s">
        <v>59</v>
      </c>
      <c r="C23" s="2" t="s">
        <v>57</v>
      </c>
      <c r="D23" s="3">
        <v>48000</v>
      </c>
      <c r="E23" s="4">
        <v>28000</v>
      </c>
      <c r="F23" s="5">
        <f t="shared" si="0"/>
        <v>0.41666666666666669</v>
      </c>
      <c r="G23" s="2" t="str">
        <f t="shared" si="1"/>
        <v>Biên cao</v>
      </c>
      <c r="H23" s="2" t="str">
        <f t="shared" si="6"/>
        <v>Trung</v>
      </c>
      <c r="I23" s="2" t="b">
        <f t="shared" si="2"/>
        <v>1</v>
      </c>
      <c r="J23" s="2" t="b">
        <f t="shared" si="3"/>
        <v>0</v>
      </c>
      <c r="K23" s="2" t="b">
        <f t="shared" si="4"/>
        <v>1</v>
      </c>
      <c r="L23" s="5">
        <f t="shared" si="5"/>
        <v>0.41666666666666669</v>
      </c>
    </row>
    <row r="24" spans="1:12" x14ac:dyDescent="0.2">
      <c r="A24" s="2" t="s">
        <v>60</v>
      </c>
      <c r="B24" s="2" t="s">
        <v>61</v>
      </c>
      <c r="C24" s="2" t="s">
        <v>57</v>
      </c>
      <c r="D24" s="3">
        <v>185000</v>
      </c>
      <c r="E24" s="4">
        <v>120000</v>
      </c>
      <c r="F24" s="5">
        <f t="shared" si="0"/>
        <v>0.35135135135135137</v>
      </c>
      <c r="G24" s="2" t="str">
        <f t="shared" si="1"/>
        <v>Biên cao</v>
      </c>
      <c r="H24" s="2" t="str">
        <f t="shared" si="6"/>
        <v>Cao</v>
      </c>
      <c r="I24" s="2" t="b">
        <f t="shared" si="2"/>
        <v>1</v>
      </c>
      <c r="J24" s="2" t="b">
        <f t="shared" si="3"/>
        <v>0</v>
      </c>
      <c r="K24" s="2" t="b">
        <f t="shared" si="4"/>
        <v>1</v>
      </c>
      <c r="L24" s="5">
        <f t="shared" si="5"/>
        <v>0.35135135135135137</v>
      </c>
    </row>
    <row r="25" spans="1:12" x14ac:dyDescent="0.2">
      <c r="A25" s="2" t="s">
        <v>62</v>
      </c>
      <c r="B25" s="2" t="s">
        <v>63</v>
      </c>
      <c r="C25" s="2" t="s">
        <v>57</v>
      </c>
      <c r="D25" s="3">
        <v>95000</v>
      </c>
      <c r="E25" s="4">
        <v>52500</v>
      </c>
      <c r="F25" s="5">
        <f t="shared" si="0"/>
        <v>0.44736842105263158</v>
      </c>
      <c r="G25" s="2" t="str">
        <f t="shared" si="1"/>
        <v>Biên cao</v>
      </c>
      <c r="H25" s="2" t="str">
        <f t="shared" si="6"/>
        <v>Trung</v>
      </c>
      <c r="I25" s="2" t="b">
        <f t="shared" si="2"/>
        <v>1</v>
      </c>
      <c r="J25" s="2" t="b">
        <f t="shared" si="3"/>
        <v>0</v>
      </c>
      <c r="K25" s="2" t="b">
        <f t="shared" si="4"/>
        <v>1</v>
      </c>
      <c r="L25" s="5">
        <f t="shared" si="5"/>
        <v>0.44736842105263158</v>
      </c>
    </row>
    <row r="26" spans="1:12" x14ac:dyDescent="0.2">
      <c r="A26" s="2" t="s">
        <v>64</v>
      </c>
      <c r="B26" s="2" t="s">
        <v>65</v>
      </c>
      <c r="C26" s="2" t="s">
        <v>57</v>
      </c>
      <c r="D26" s="3">
        <v>42000</v>
      </c>
      <c r="E26" s="4">
        <v>26000</v>
      </c>
      <c r="F26" s="5">
        <f t="shared" si="0"/>
        <v>0.38095238095238093</v>
      </c>
      <c r="G26" s="2" t="str">
        <f t="shared" si="1"/>
        <v>Biên cao</v>
      </c>
      <c r="H26" s="2" t="str">
        <f t="shared" si="6"/>
        <v>Trung</v>
      </c>
      <c r="I26" s="2" t="b">
        <f t="shared" si="2"/>
        <v>1</v>
      </c>
      <c r="J26" s="2" t="b">
        <f t="shared" si="3"/>
        <v>0</v>
      </c>
      <c r="K26" s="2" t="b">
        <f t="shared" si="4"/>
        <v>1</v>
      </c>
      <c r="L26" s="5">
        <f t="shared" si="5"/>
        <v>0.38095238095238093</v>
      </c>
    </row>
    <row r="27" spans="1:12" x14ac:dyDescent="0.2">
      <c r="A27" s="2" t="s">
        <v>66</v>
      </c>
      <c r="B27" s="2" t="s">
        <v>67</v>
      </c>
      <c r="C27" s="2" t="s">
        <v>57</v>
      </c>
      <c r="D27" s="3">
        <v>19000</v>
      </c>
      <c r="E27" s="4">
        <v>11500</v>
      </c>
      <c r="F27" s="5">
        <f t="shared" si="0"/>
        <v>0.39473684210526316</v>
      </c>
      <c r="G27" s="2" t="str">
        <f t="shared" si="1"/>
        <v>Biên cao</v>
      </c>
      <c r="H27" s="2" t="str">
        <f t="shared" si="6"/>
        <v>Thấp</v>
      </c>
      <c r="I27" s="2" t="b">
        <f t="shared" si="2"/>
        <v>1</v>
      </c>
      <c r="J27" s="2" t="b">
        <f t="shared" si="3"/>
        <v>0</v>
      </c>
      <c r="K27" s="2" t="b">
        <f t="shared" si="4"/>
        <v>1</v>
      </c>
      <c r="L27" s="5">
        <f t="shared" si="5"/>
        <v>0.39473684210526316</v>
      </c>
    </row>
    <row r="28" spans="1:12" x14ac:dyDescent="0.2">
      <c r="A28" s="2" t="s">
        <v>68</v>
      </c>
      <c r="B28" s="2" t="s">
        <v>69</v>
      </c>
      <c r="C28" s="2" t="s">
        <v>57</v>
      </c>
      <c r="D28" s="3">
        <v>650000</v>
      </c>
      <c r="E28" s="4">
        <v>390000</v>
      </c>
      <c r="F28" s="5">
        <f t="shared" si="0"/>
        <v>0.4</v>
      </c>
      <c r="G28" s="2" t="str">
        <f t="shared" si="1"/>
        <v>Biên cao</v>
      </c>
      <c r="H28" s="2" t="str">
        <f t="shared" si="6"/>
        <v>Cao</v>
      </c>
      <c r="I28" s="2" t="b">
        <f t="shared" si="2"/>
        <v>1</v>
      </c>
      <c r="J28" s="2" t="b">
        <f t="shared" si="3"/>
        <v>0</v>
      </c>
      <c r="K28" s="2" t="b">
        <f t="shared" si="4"/>
        <v>1</v>
      </c>
      <c r="L28" s="5">
        <f t="shared" si="5"/>
        <v>0.4</v>
      </c>
    </row>
    <row r="29" spans="1:12" x14ac:dyDescent="0.2">
      <c r="A29" s="2" t="s">
        <v>70</v>
      </c>
      <c r="B29" s="2" t="s">
        <v>71</v>
      </c>
      <c r="C29" s="2" t="s">
        <v>72</v>
      </c>
      <c r="D29" s="3">
        <v>165000</v>
      </c>
      <c r="E29" s="4">
        <v>102500</v>
      </c>
      <c r="F29" s="5">
        <f t="shared" si="0"/>
        <v>0.37878787878787878</v>
      </c>
      <c r="G29" s="2" t="str">
        <f t="shared" si="1"/>
        <v>Biên cao</v>
      </c>
      <c r="H29" s="2" t="str">
        <f t="shared" si="6"/>
        <v>Cao</v>
      </c>
      <c r="I29" s="2" t="b">
        <f t="shared" si="2"/>
        <v>0</v>
      </c>
      <c r="J29" s="2" t="b">
        <f t="shared" si="3"/>
        <v>0</v>
      </c>
      <c r="K29" s="2" t="b">
        <f t="shared" si="4"/>
        <v>1</v>
      </c>
      <c r="L29" s="5">
        <f t="shared" si="5"/>
        <v>0.37878787878787878</v>
      </c>
    </row>
    <row r="30" spans="1:12" x14ac:dyDescent="0.2">
      <c r="A30" s="2" t="s">
        <v>73</v>
      </c>
      <c r="B30" s="2" t="s">
        <v>74</v>
      </c>
      <c r="C30" s="2" t="s">
        <v>72</v>
      </c>
      <c r="D30" s="3">
        <v>145000</v>
      </c>
      <c r="E30" s="4">
        <v>90000</v>
      </c>
      <c r="F30" s="5">
        <f t="shared" si="0"/>
        <v>0.37931034482758619</v>
      </c>
      <c r="G30" s="2" t="str">
        <f t="shared" si="1"/>
        <v>Biên cao</v>
      </c>
      <c r="H30" s="2" t="str">
        <f t="shared" si="6"/>
        <v>Cao</v>
      </c>
      <c r="I30" s="2" t="b">
        <f t="shared" si="2"/>
        <v>0</v>
      </c>
      <c r="J30" s="2" t="b">
        <f t="shared" si="3"/>
        <v>0</v>
      </c>
      <c r="K30" s="2" t="b">
        <f t="shared" si="4"/>
        <v>1</v>
      </c>
      <c r="L30" s="5">
        <f t="shared" si="5"/>
        <v>0.37931034482758619</v>
      </c>
    </row>
    <row r="31" spans="1:12" x14ac:dyDescent="0.2">
      <c r="A31" s="2" t="s">
        <v>75</v>
      </c>
      <c r="B31" s="2" t="s">
        <v>76</v>
      </c>
      <c r="C31" s="2" t="s">
        <v>72</v>
      </c>
      <c r="D31" s="3">
        <v>39000</v>
      </c>
      <c r="E31" s="4">
        <v>25000</v>
      </c>
      <c r="F31" s="5">
        <f t="shared" si="0"/>
        <v>0.35897435897435898</v>
      </c>
      <c r="G31" s="2" t="str">
        <f t="shared" si="1"/>
        <v>Biên cao</v>
      </c>
      <c r="H31" s="2" t="str">
        <f t="shared" si="6"/>
        <v>Trung</v>
      </c>
      <c r="I31" s="2" t="b">
        <f t="shared" si="2"/>
        <v>0</v>
      </c>
      <c r="J31" s="2" t="b">
        <f t="shared" si="3"/>
        <v>0</v>
      </c>
      <c r="K31" s="2" t="b">
        <f t="shared" si="4"/>
        <v>1</v>
      </c>
      <c r="L31" s="5">
        <f t="shared" si="5"/>
        <v>0.35897435897435898</v>
      </c>
    </row>
    <row r="32" spans="1:12" x14ac:dyDescent="0.2">
      <c r="A32" s="2" t="s">
        <v>77</v>
      </c>
      <c r="B32" s="2" t="s">
        <v>78</v>
      </c>
      <c r="C32" s="2" t="s">
        <v>72</v>
      </c>
      <c r="D32" s="3">
        <v>35000</v>
      </c>
      <c r="E32" s="4">
        <v>19000</v>
      </c>
      <c r="F32" s="5">
        <f t="shared" si="0"/>
        <v>0.45714285714285713</v>
      </c>
      <c r="G32" s="2" t="str">
        <f t="shared" si="1"/>
        <v>Biên cao</v>
      </c>
      <c r="H32" s="2" t="str">
        <f t="shared" si="6"/>
        <v>Trung</v>
      </c>
      <c r="I32" s="2" t="b">
        <f t="shared" si="2"/>
        <v>0</v>
      </c>
      <c r="J32" s="2" t="b">
        <f t="shared" si="3"/>
        <v>0</v>
      </c>
      <c r="K32" s="2" t="b">
        <f t="shared" si="4"/>
        <v>1</v>
      </c>
      <c r="L32" s="5">
        <f t="shared" si="5"/>
        <v>0.45714285714285713</v>
      </c>
    </row>
    <row r="33" spans="1:12" x14ac:dyDescent="0.2">
      <c r="A33" s="2" t="s">
        <v>79</v>
      </c>
      <c r="B33" s="2" t="s">
        <v>80</v>
      </c>
      <c r="C33" s="2" t="s">
        <v>72</v>
      </c>
      <c r="D33" s="3">
        <v>56000</v>
      </c>
      <c r="E33" s="4">
        <v>39000</v>
      </c>
      <c r="F33" s="5">
        <f t="shared" si="0"/>
        <v>0.30357142857142855</v>
      </c>
      <c r="G33" s="2" t="str">
        <f t="shared" si="1"/>
        <v>Biên thấp</v>
      </c>
      <c r="H33" s="2" t="str">
        <f t="shared" si="6"/>
        <v>Trung</v>
      </c>
      <c r="I33" s="2" t="b">
        <f t="shared" si="2"/>
        <v>0</v>
      </c>
      <c r="J33" s="2" t="b">
        <f t="shared" si="3"/>
        <v>0</v>
      </c>
      <c r="K33" s="2" t="b">
        <f t="shared" si="4"/>
        <v>1</v>
      </c>
      <c r="L33" s="5">
        <f t="shared" si="5"/>
        <v>0.30357142857142855</v>
      </c>
    </row>
    <row r="34" spans="1:12" x14ac:dyDescent="0.2">
      <c r="A34" s="2" t="s">
        <v>81</v>
      </c>
      <c r="B34" s="2" t="s">
        <v>82</v>
      </c>
      <c r="C34" s="2" t="s">
        <v>72</v>
      </c>
      <c r="D34" s="3">
        <v>62000</v>
      </c>
      <c r="E34" s="4">
        <v>37000</v>
      </c>
      <c r="F34" s="5">
        <f t="shared" si="0"/>
        <v>0.40322580645161288</v>
      </c>
      <c r="G34" s="2" t="str">
        <f t="shared" si="1"/>
        <v>Biên cao</v>
      </c>
      <c r="H34" s="2" t="str">
        <f t="shared" si="6"/>
        <v>Trung</v>
      </c>
      <c r="I34" s="2" t="b">
        <f t="shared" si="2"/>
        <v>0</v>
      </c>
      <c r="J34" s="2" t="b">
        <f t="shared" si="3"/>
        <v>0</v>
      </c>
      <c r="K34" s="2" t="b">
        <f t="shared" si="4"/>
        <v>1</v>
      </c>
      <c r="L34" s="5">
        <f t="shared" si="5"/>
        <v>0.40322580645161288</v>
      </c>
    </row>
    <row r="35" spans="1:12" x14ac:dyDescent="0.2">
      <c r="A35" s="2" t="s">
        <v>83</v>
      </c>
      <c r="B35" s="2" t="s">
        <v>84</v>
      </c>
      <c r="C35" s="2" t="s">
        <v>85</v>
      </c>
      <c r="D35" s="3">
        <v>158000</v>
      </c>
      <c r="E35" s="4">
        <v>118500</v>
      </c>
      <c r="F35" s="5">
        <f t="shared" si="0"/>
        <v>0.25</v>
      </c>
      <c r="G35" s="2" t="str">
        <f t="shared" si="1"/>
        <v>Biên thấp</v>
      </c>
      <c r="H35" s="2" t="str">
        <f t="shared" si="6"/>
        <v>Cao</v>
      </c>
      <c r="I35" s="2" t="b">
        <f t="shared" si="2"/>
        <v>0</v>
      </c>
      <c r="J35" s="2" t="b">
        <f t="shared" si="3"/>
        <v>0</v>
      </c>
      <c r="K35" s="2" t="b">
        <f t="shared" si="4"/>
        <v>1</v>
      </c>
      <c r="L35" s="5">
        <f t="shared" si="5"/>
        <v>0.25</v>
      </c>
    </row>
    <row r="36" spans="1:12" x14ac:dyDescent="0.2">
      <c r="A36" s="2" t="s">
        <v>86</v>
      </c>
      <c r="B36" s="2" t="s">
        <v>87</v>
      </c>
      <c r="C36" s="2" t="s">
        <v>85</v>
      </c>
      <c r="D36" s="3">
        <v>32000</v>
      </c>
      <c r="E36" s="4">
        <v>22500</v>
      </c>
      <c r="F36" s="5">
        <f t="shared" si="0"/>
        <v>0.296875</v>
      </c>
      <c r="G36" s="2" t="str">
        <f t="shared" si="1"/>
        <v>Biên thấp</v>
      </c>
      <c r="H36" s="2" t="str">
        <f t="shared" si="6"/>
        <v>Trung</v>
      </c>
      <c r="I36" s="2" t="b">
        <f t="shared" si="2"/>
        <v>0</v>
      </c>
      <c r="J36" s="2" t="b">
        <f t="shared" si="3"/>
        <v>0</v>
      </c>
      <c r="K36" s="2" t="b">
        <f t="shared" si="4"/>
        <v>1</v>
      </c>
      <c r="L36" s="5">
        <f t="shared" si="5"/>
        <v>0.296875</v>
      </c>
    </row>
    <row r="37" spans="1:12" x14ac:dyDescent="0.2">
      <c r="A37" s="2" t="s">
        <v>88</v>
      </c>
      <c r="B37" s="2" t="s">
        <v>89</v>
      </c>
      <c r="C37" s="2" t="s">
        <v>85</v>
      </c>
      <c r="D37" s="3">
        <v>45000</v>
      </c>
      <c r="E37" s="4">
        <v>30500</v>
      </c>
      <c r="F37" s="5">
        <f t="shared" si="0"/>
        <v>0.32222222222222224</v>
      </c>
      <c r="G37" s="2" t="str">
        <f t="shared" si="1"/>
        <v>Biên thấp</v>
      </c>
      <c r="H37" s="2" t="str">
        <f t="shared" si="6"/>
        <v>Trung</v>
      </c>
      <c r="I37" s="2" t="b">
        <f t="shared" si="2"/>
        <v>0</v>
      </c>
      <c r="J37" s="2" t="b">
        <f t="shared" si="3"/>
        <v>0</v>
      </c>
      <c r="K37" s="2" t="b">
        <f t="shared" si="4"/>
        <v>1</v>
      </c>
      <c r="L37" s="5">
        <f t="shared" si="5"/>
        <v>0.32222222222222224</v>
      </c>
    </row>
    <row r="38" spans="1:12" x14ac:dyDescent="0.2">
      <c r="A38" s="2" t="s">
        <v>90</v>
      </c>
      <c r="B38" s="2" t="s">
        <v>91</v>
      </c>
      <c r="C38" s="2" t="s">
        <v>85</v>
      </c>
      <c r="D38" s="3">
        <v>25000</v>
      </c>
      <c r="E38" s="4">
        <v>14000</v>
      </c>
      <c r="F38" s="5">
        <f t="shared" si="0"/>
        <v>0.44</v>
      </c>
      <c r="G38" s="2" t="str">
        <f t="shared" si="1"/>
        <v>Biên cao</v>
      </c>
      <c r="H38" s="2" t="str">
        <f t="shared" si="6"/>
        <v>Thấp</v>
      </c>
      <c r="I38" s="2" t="b">
        <f t="shared" si="2"/>
        <v>0</v>
      </c>
      <c r="J38" s="2" t="b">
        <f t="shared" si="3"/>
        <v>0</v>
      </c>
      <c r="K38" s="2" t="b">
        <f t="shared" si="4"/>
        <v>1</v>
      </c>
      <c r="L38" s="5">
        <f t="shared" si="5"/>
        <v>0.44</v>
      </c>
    </row>
    <row r="39" spans="1:12" x14ac:dyDescent="0.2">
      <c r="A39" s="2" t="s">
        <v>92</v>
      </c>
      <c r="B39" s="2" t="s">
        <v>93</v>
      </c>
      <c r="C39" s="2" t="s">
        <v>85</v>
      </c>
      <c r="D39" s="3">
        <v>89000</v>
      </c>
      <c r="E39" s="4">
        <v>44500</v>
      </c>
      <c r="F39" s="5">
        <f t="shared" si="0"/>
        <v>0.5</v>
      </c>
      <c r="G39" s="2" t="str">
        <f t="shared" si="1"/>
        <v>Biên cao</v>
      </c>
      <c r="H39" s="2" t="str">
        <f t="shared" si="6"/>
        <v>Trung</v>
      </c>
      <c r="I39" s="2" t="b">
        <f t="shared" si="2"/>
        <v>0</v>
      </c>
      <c r="J39" s="2" t="b">
        <f t="shared" si="3"/>
        <v>0</v>
      </c>
      <c r="K39" s="2" t="b">
        <f t="shared" si="4"/>
        <v>1</v>
      </c>
      <c r="L39" s="5">
        <f t="shared" si="5"/>
        <v>0.5</v>
      </c>
    </row>
    <row r="40" spans="1:12" x14ac:dyDescent="0.2">
      <c r="A40" s="2" t="s">
        <v>94</v>
      </c>
      <c r="B40" s="2" t="s">
        <v>95</v>
      </c>
      <c r="C40" s="2" t="s">
        <v>85</v>
      </c>
      <c r="D40" s="3">
        <v>245000</v>
      </c>
      <c r="E40" s="4">
        <v>135000</v>
      </c>
      <c r="F40" s="5">
        <f t="shared" si="0"/>
        <v>0.44897959183673469</v>
      </c>
      <c r="G40" s="2" t="str">
        <f t="shared" si="1"/>
        <v>Biên cao</v>
      </c>
      <c r="H40" s="2" t="str">
        <f t="shared" si="6"/>
        <v>Cao</v>
      </c>
      <c r="I40" s="2" t="b">
        <f t="shared" si="2"/>
        <v>0</v>
      </c>
      <c r="J40" s="2" t="b">
        <f t="shared" si="3"/>
        <v>0</v>
      </c>
      <c r="K40" s="2" t="b">
        <f t="shared" si="4"/>
        <v>1</v>
      </c>
      <c r="L40" s="5">
        <f t="shared" si="5"/>
        <v>0.44897959183673469</v>
      </c>
    </row>
    <row r="41" spans="1:12" x14ac:dyDescent="0.2">
      <c r="A41" s="2" t="s">
        <v>96</v>
      </c>
      <c r="B41" s="2" t="s">
        <v>97</v>
      </c>
      <c r="C41" s="2" t="s">
        <v>85</v>
      </c>
      <c r="D41" s="3">
        <v>99000</v>
      </c>
      <c r="E41" s="4">
        <v>71500</v>
      </c>
      <c r="F41" s="5">
        <f t="shared" si="0"/>
        <v>0.27777777777777779</v>
      </c>
      <c r="G41" s="2" t="str">
        <f t="shared" si="1"/>
        <v>Biên thấp</v>
      </c>
      <c r="H41" s="2" t="str">
        <f t="shared" si="6"/>
        <v>Trung</v>
      </c>
      <c r="I41" s="2" t="b">
        <f t="shared" si="2"/>
        <v>0</v>
      </c>
      <c r="J41" s="2" t="b">
        <f t="shared" si="3"/>
        <v>0</v>
      </c>
      <c r="K41" s="2" t="b">
        <f t="shared" si="4"/>
        <v>1</v>
      </c>
      <c r="L41" s="5">
        <f t="shared" si="5"/>
        <v>0.27777777777777779</v>
      </c>
    </row>
    <row r="42" spans="1:12" x14ac:dyDescent="0.2">
      <c r="A42" s="2" t="s">
        <v>98</v>
      </c>
      <c r="B42" s="2" t="s">
        <v>99</v>
      </c>
      <c r="C42" s="2" t="s">
        <v>14</v>
      </c>
      <c r="D42" s="3"/>
      <c r="E42" s="4">
        <v>14000</v>
      </c>
      <c r="F42" s="5" t="e">
        <f t="shared" si="0"/>
        <v>#DIV/0!</v>
      </c>
      <c r="G42" s="2" t="e">
        <f t="shared" si="1"/>
        <v>#DIV/0!</v>
      </c>
      <c r="H42" s="2" t="str">
        <f t="shared" si="6"/>
        <v>Thấp</v>
      </c>
      <c r="I42" s="2" t="e">
        <f t="shared" si="2"/>
        <v>#DIV/0!</v>
      </c>
      <c r="J42" s="2" t="b">
        <f t="shared" si="3"/>
        <v>0</v>
      </c>
      <c r="K42" s="2" t="b">
        <f t="shared" si="4"/>
        <v>1</v>
      </c>
      <c r="L42" s="5" t="str">
        <f t="shared" si="5"/>
        <v>Chưa có giá</v>
      </c>
    </row>
    <row r="43" spans="1:12" x14ac:dyDescent="0.2">
      <c r="A43" s="2" t="s">
        <v>100</v>
      </c>
      <c r="B43" s="2" t="s">
        <v>101</v>
      </c>
      <c r="C43" s="2" t="s">
        <v>85</v>
      </c>
      <c r="D43" s="3"/>
      <c r="E43" s="4">
        <v>520000</v>
      </c>
      <c r="F43" s="5" t="e">
        <f t="shared" si="0"/>
        <v>#DIV/0!</v>
      </c>
      <c r="G43" s="2" t="e">
        <f t="shared" si="1"/>
        <v>#DIV/0!</v>
      </c>
      <c r="H43" s="2" t="str">
        <f t="shared" si="6"/>
        <v>Thấp</v>
      </c>
      <c r="I43" s="2" t="e">
        <f t="shared" si="2"/>
        <v>#DIV/0!</v>
      </c>
      <c r="J43" s="2" t="b">
        <f t="shared" si="3"/>
        <v>0</v>
      </c>
      <c r="K43" s="2" t="b">
        <f t="shared" si="4"/>
        <v>1</v>
      </c>
      <c r="L43" s="5" t="str">
        <f t="shared" si="5"/>
        <v>Chưa có giá</v>
      </c>
    </row>
    <row r="45" spans="1:12" x14ac:dyDescent="0.2">
      <c r="A45" s="6" t="s">
        <v>102</v>
      </c>
    </row>
    <row r="46" spans="1:12" x14ac:dyDescent="0.2">
      <c r="A46" s="2" t="s">
        <v>103</v>
      </c>
      <c r="D46" s="6">
        <f>COUNTIF(G2:G43,"Biên cao")</f>
        <v>16</v>
      </c>
    </row>
    <row r="47" spans="1:12" x14ac:dyDescent="0.2">
      <c r="A47" s="2" t="s">
        <v>104</v>
      </c>
      <c r="D47" s="6">
        <f>SUMPRODUCT(--ISERROR(F2:F43))</f>
        <v>2</v>
      </c>
    </row>
    <row r="48" spans="1:12" x14ac:dyDescent="0.2">
      <c r="A48" s="2" t="s">
        <v>105</v>
      </c>
      <c r="D48" s="6">
        <f>COUNTIF(H2:H43,"Cao")</f>
        <v>12</v>
      </c>
    </row>
    <row r="49" spans="1:4" x14ac:dyDescent="0.2">
      <c r="A49" s="2" t="s">
        <v>106</v>
      </c>
      <c r="D49" s="6">
        <f>COUNTIF(I2:I43,TRUE)</f>
        <v>7</v>
      </c>
    </row>
    <row r="50" spans="1:4" x14ac:dyDescent="0.2">
      <c r="A50" s="2" t="s">
        <v>107</v>
      </c>
      <c r="D50" s="6">
        <f>COUNTIF(J2:J43,TRUE)</f>
        <v>13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C8"/>
  <sheetViews>
    <sheetView zoomScale="135" workbookViewId="0">
      <selection activeCell="C6" sqref="C6:D11"/>
    </sheetView>
  </sheetViews>
  <sheetFormatPr baseColWidth="10" defaultColWidth="8.83203125" defaultRowHeight="15" x14ac:dyDescent="0.2"/>
  <cols>
    <col min="1" max="1" width="8" customWidth="1"/>
    <col min="2" max="2" width="72" customWidth="1"/>
    <col min="3" max="3" width="50" customWidth="1"/>
  </cols>
  <sheetData>
    <row r="1" spans="1:3" ht="18" x14ac:dyDescent="0.2">
      <c r="A1" s="7" t="s">
        <v>108</v>
      </c>
    </row>
    <row r="3" spans="1:3" x14ac:dyDescent="0.2">
      <c r="A3" s="1" t="s">
        <v>109</v>
      </c>
      <c r="B3" s="1" t="s">
        <v>110</v>
      </c>
      <c r="C3" s="1" t="s">
        <v>111</v>
      </c>
    </row>
    <row r="4" spans="1:3" ht="28" x14ac:dyDescent="0.2">
      <c r="A4" s="8">
        <v>7</v>
      </c>
      <c r="B4" s="8" t="s">
        <v>112</v>
      </c>
      <c r="C4" s="8" t="s">
        <v>113</v>
      </c>
    </row>
    <row r="5" spans="1:3" ht="28" x14ac:dyDescent="0.2">
      <c r="A5" s="8">
        <v>7</v>
      </c>
      <c r="B5" s="8" t="s">
        <v>114</v>
      </c>
      <c r="C5" s="8" t="s">
        <v>115</v>
      </c>
    </row>
    <row r="6" spans="1:3" ht="28" x14ac:dyDescent="0.2">
      <c r="A6" s="8">
        <v>8</v>
      </c>
      <c r="B6" s="8" t="s">
        <v>116</v>
      </c>
      <c r="C6" s="8" t="s">
        <v>117</v>
      </c>
    </row>
    <row r="7" spans="1:3" ht="28" x14ac:dyDescent="0.2">
      <c r="A7" s="8">
        <v>9</v>
      </c>
      <c r="B7" s="8" t="s">
        <v>118</v>
      </c>
      <c r="C7" s="8" t="s">
        <v>119</v>
      </c>
    </row>
    <row r="8" spans="1:3" x14ac:dyDescent="0.2">
      <c r="A8" s="8">
        <v>9</v>
      </c>
      <c r="B8" s="8" t="s">
        <v>120</v>
      </c>
      <c r="C8" s="8" t="s">
        <v>121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Demo_IF</vt:lpstr>
      <vt:lpstr>Huong_dan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Nhan Pham Le</cp:lastModifiedBy>
  <dcterms:created xsi:type="dcterms:W3CDTF">2026-09-27T06:05:50Z</dcterms:created>
  <dcterms:modified xsi:type="dcterms:W3CDTF">2026-09-29T05:39:23Z</dcterms:modified>
</cp:coreProperties>
</file>