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Vi_du_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203864"/>
      <sz val="14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3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72" customWidth="1" min="2" max="2"/>
    <col width="50" customWidth="1" min="3" max="3"/>
  </cols>
  <sheetData>
    <row r="1">
      <c r="A1" s="7" t="inlineStr">
        <is>
          <t>VÍ DỤ B2 — HÀM LOGIC IF / IFS / AND / OR / NOT / IFERROR (slide 7, 8, 9)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8" t="n">
        <v>7</v>
      </c>
      <c r="B4" s="8" t="inlineStr">
        <is>
          <t>Sheet Vi_du_IF. Cột F là Margin_% = (Giá − Vốn) ÷ Giá. Chọn G2:G43, nhấn Delete, gõ lại G2: =IF(F2&gt;=35%,"Biên cao","Biên thấp") rồi kéo xuống G43.</t>
        </is>
      </c>
      <c r="C4" s="8" t="inlineStr">
        <is>
          <t>16 sản phẩm “Biên cao”, 24 “Biên thấp”; P041, P042 (dòng 42, 43) ra #DIV/0!.</t>
        </is>
      </c>
    </row>
    <row r="5">
      <c r="A5" s="8" t="n">
        <v>7</v>
      </c>
      <c r="B5" s="8" t="inlineStr">
        <is>
          <t>H2: =IFS(D2&gt;=100000,"Cao",D2&gt;=30000,"Trung",TRUE,"Thấp"), kéo xuống. Nhìn dòng P041, P042.</t>
        </is>
      </c>
      <c r="C5" s="8" t="inlineStr">
        <is>
          <t>12 sản phẩm phân khúc “Cao”. P041, P042 chưa có giá mà vẫn ra “Thấp”: ô trống được tính là 0.</t>
        </is>
      </c>
    </row>
    <row r="6">
      <c r="A6" s="8" t="n">
        <v>8</v>
      </c>
      <c r="B6" s="8" t="inlineStr">
        <is>
          <t>I2: =AND(C2="Bánh kẹo",F2&gt;=35%); J2: =OR(C2="Sữa",C2="Thực phẩm khô"); K2: =NOT(J2). Kéo xuống.</t>
        </is>
      </c>
      <c r="C6" s="8" t="inlineStr">
        <is>
          <t>AND: 7 sản phẩm TRUE (Bánh kẹo và biên ≥ 35%). OR: 13 sản phẩm TRUE. NOT đảo ngược cột J.</t>
        </is>
      </c>
    </row>
    <row r="7">
      <c r="A7" s="8" t="n">
        <v>9</v>
      </c>
      <c r="B7" s="8" t="inlineStr">
        <is>
          <t>L2: =IFERROR((D2-E2)/D2,"Chưa có giá"), kéo xuống. Thử đổi giá trị thay thế thành 0: =IFERROR((D2-E2)/D2,0).</t>
        </is>
      </c>
      <c r="C7" s="8" t="inlineStr">
        <is>
          <t>P041, P042 hiện “Chưa có giá”. Nếu thay bằng 0, hai sản phẩm hiện Margin 0% — con số sai mà trông như thật.</t>
        </is>
      </c>
    </row>
    <row r="8">
      <c r="A8" s="8" t="n">
        <v>9</v>
      </c>
      <c r="B8" s="8" t="inlineStr">
        <is>
          <t>Gõ giá cho P041 ở D42: 25000.</t>
        </is>
      </c>
      <c r="C8" s="8" t="inlineStr">
        <is>
          <t>Mọi cột của dòng P041 tự tính lại; Margin_% = 44,0%.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44" customWidth="1" min="2" max="2"/>
    <col width="16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3" customWidth="1" min="11" max="11"/>
    <col width="14" customWidth="1" min="12" max="12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  <c r="F1" s="1" t="inlineStr">
        <is>
          <t>Margin_%</t>
        </is>
      </c>
      <c r="G1" s="1" t="inlineStr">
        <is>
          <t>IF: Biên</t>
        </is>
      </c>
      <c r="H1" s="1" t="inlineStr">
        <is>
          <t>IFS: Phân khúc giá</t>
        </is>
      </c>
      <c r="I1" s="1" t="inlineStr">
        <is>
          <t>AND: Ưu tiên Tết</t>
        </is>
      </c>
      <c r="J1" s="1" t="inlineStr">
        <is>
          <t>OR: Thiết yếu</t>
        </is>
      </c>
      <c r="K1" s="1" t="inlineStr">
        <is>
          <t>NOT: Không thiết yếu</t>
        </is>
      </c>
      <c r="L1" s="1" t="inlineStr">
        <is>
          <t>IFERROR: Margin_%</t>
        </is>
      </c>
    </row>
    <row r="2">
      <c r="A2" s="2" t="inlineStr">
        <is>
          <t>P001</t>
        </is>
      </c>
      <c r="B2" s="2" t="inlineStr">
        <is>
          <t>Nước suối 500ml (lốc 6 chai)</t>
        </is>
      </c>
      <c r="C2" s="2" t="inlineStr">
        <is>
          <t>Đồ uống</t>
        </is>
      </c>
      <c r="D2" s="3" t="n">
        <v>32000</v>
      </c>
      <c r="E2" s="4" t="n">
        <v>23000</v>
      </c>
      <c r="F2" s="5">
        <f>(D2-E2)/D2</f>
        <v/>
      </c>
      <c r="G2" s="2">
        <f>IF(F2&gt;=35%,"Biên cao","Biên thấp")</f>
        <v/>
      </c>
      <c r="H2" s="2">
        <f>_xlfn.IFS(D2&gt;=100000,"Cao",D2&gt;=30000,"Trung",TRUE,"Thấp")</f>
        <v/>
      </c>
      <c r="I2" s="2">
        <f>AND(C2="Bánh kẹo",F2&gt;=35%)</f>
        <v/>
      </c>
      <c r="J2" s="2">
        <f>OR(C2="Sữa",C2="Thực phẩm khô")</f>
        <v/>
      </c>
      <c r="K2" s="2">
        <f>NOT(J2)</f>
        <v/>
      </c>
      <c r="L2" s="5">
        <f>IFERROR((D2-E2)/D2,"Chưa có giá")</f>
        <v/>
      </c>
    </row>
    <row r="3">
      <c r="A3" s="2" t="inlineStr">
        <is>
          <t>P002</t>
        </is>
      </c>
      <c r="B3" s="2" t="inlineStr">
        <is>
          <t>Nước ngọt có ga 330ml (lốc 6 lon)</t>
        </is>
      </c>
      <c r="C3" s="2" t="inlineStr">
        <is>
          <t>Đồ uống</t>
        </is>
      </c>
      <c r="D3" s="3" t="n">
        <v>58000</v>
      </c>
      <c r="E3" s="4" t="n">
        <v>43000</v>
      </c>
      <c r="F3" s="5">
        <f>(D3-E3)/D3</f>
        <v/>
      </c>
      <c r="G3" s="2">
        <f>IF(F3&gt;=35%,"Biên cao","Biên thấp")</f>
        <v/>
      </c>
      <c r="H3" s="2">
        <f>_xlfn.IFS(D3&gt;=100000,"Cao",D3&gt;=30000,"Trung",TRUE,"Thấp")</f>
        <v/>
      </c>
      <c r="I3" s="2">
        <f>AND(C3="Bánh kẹo",F3&gt;=35%)</f>
        <v/>
      </c>
      <c r="J3" s="2">
        <f>OR(C3="Sữa",C3="Thực phẩm khô")</f>
        <v/>
      </c>
      <c r="K3" s="2">
        <f>NOT(J3)</f>
        <v/>
      </c>
      <c r="L3" s="5">
        <f>IFERROR((D3-E3)/D3,"Chưa có giá")</f>
        <v/>
      </c>
    </row>
    <row r="4">
      <c r="A4" s="2" t="inlineStr">
        <is>
          <t>P003</t>
        </is>
      </c>
      <c r="B4" s="2" t="inlineStr">
        <is>
          <t>Trà xanh đóng chai 455ml</t>
        </is>
      </c>
      <c r="C4" s="2" t="inlineStr">
        <is>
          <t>Đồ uống</t>
        </is>
      </c>
      <c r="D4" s="3" t="n">
        <v>10000</v>
      </c>
      <c r="E4" s="4" t="n">
        <v>7000</v>
      </c>
      <c r="F4" s="5">
        <f>(D4-E4)/D4</f>
        <v/>
      </c>
      <c r="G4" s="2">
        <f>IF(F4&gt;=35%,"Biên cao","Biên thấp")</f>
        <v/>
      </c>
      <c r="H4" s="2">
        <f>_xlfn.IFS(D4&gt;=100000,"Cao",D4&gt;=30000,"Trung",TRUE,"Thấp")</f>
        <v/>
      </c>
      <c r="I4" s="2">
        <f>AND(C4="Bánh kẹo",F4&gt;=35%)</f>
        <v/>
      </c>
      <c r="J4" s="2">
        <f>OR(C4="Sữa",C4="Thực phẩm khô")</f>
        <v/>
      </c>
      <c r="K4" s="2">
        <f>NOT(J4)</f>
        <v/>
      </c>
      <c r="L4" s="5">
        <f>IFERROR((D4-E4)/D4,"Chưa có giá")</f>
        <v/>
      </c>
    </row>
    <row r="5">
      <c r="A5" s="2" t="inlineStr">
        <is>
          <t>P004</t>
        </is>
      </c>
      <c r="B5" s="2" t="inlineStr">
        <is>
          <t>Cà phê hòa tan 3in1 (hộp 20 gói)</t>
        </is>
      </c>
      <c r="C5" s="2" t="inlineStr">
        <is>
          <t>Đồ uống</t>
        </is>
      </c>
      <c r="D5" s="3" t="n">
        <v>62000</v>
      </c>
      <c r="E5" s="4" t="n">
        <v>42000</v>
      </c>
      <c r="F5" s="5">
        <f>(D5-E5)/D5</f>
        <v/>
      </c>
      <c r="G5" s="2">
        <f>IF(F5&gt;=35%,"Biên cao","Biên thấp")</f>
        <v/>
      </c>
      <c r="H5" s="2">
        <f>_xlfn.IFS(D5&gt;=100000,"Cao",D5&gt;=30000,"Trung",TRUE,"Thấp")</f>
        <v/>
      </c>
      <c r="I5" s="2">
        <f>AND(C5="Bánh kẹo",F5&gt;=35%)</f>
        <v/>
      </c>
      <c r="J5" s="2">
        <f>OR(C5="Sữa",C5="Thực phẩm khô")</f>
        <v/>
      </c>
      <c r="K5" s="2">
        <f>NOT(J5)</f>
        <v/>
      </c>
      <c r="L5" s="5">
        <f>IFERROR((D5-E5)/D5,"Chưa có giá")</f>
        <v/>
      </c>
    </row>
    <row r="6">
      <c r="A6" s="2" t="inlineStr">
        <is>
          <t>P005</t>
        </is>
      </c>
      <c r="B6" s="2" t="inlineStr">
        <is>
          <t>Cà phê rang xay 500g</t>
        </is>
      </c>
      <c r="C6" s="2" t="inlineStr">
        <is>
          <t>Đồ uống</t>
        </is>
      </c>
      <c r="D6" s="3" t="n">
        <v>135000</v>
      </c>
      <c r="E6" s="4" t="n">
        <v>83500</v>
      </c>
      <c r="F6" s="5">
        <f>(D6-E6)/D6</f>
        <v/>
      </c>
      <c r="G6" s="2">
        <f>IF(F6&gt;=35%,"Biên cao","Biên thấp")</f>
        <v/>
      </c>
      <c r="H6" s="2">
        <f>_xlfn.IFS(D6&gt;=100000,"Cao",D6&gt;=30000,"Trung",TRUE,"Thấp")</f>
        <v/>
      </c>
      <c r="I6" s="2">
        <f>AND(C6="Bánh kẹo",F6&gt;=35%)</f>
        <v/>
      </c>
      <c r="J6" s="2">
        <f>OR(C6="Sữa",C6="Thực phẩm khô")</f>
        <v/>
      </c>
      <c r="K6" s="2">
        <f>NOT(J6)</f>
        <v/>
      </c>
      <c r="L6" s="5">
        <f>IFERROR((D6-E6)/D6,"Chưa có giá")</f>
        <v/>
      </c>
    </row>
    <row r="7">
      <c r="A7" s="2" t="inlineStr">
        <is>
          <t>P006</t>
        </is>
      </c>
      <c r="B7" s="2" t="inlineStr">
        <is>
          <t>Nước ép trái cây 1L</t>
        </is>
      </c>
      <c r="C7" s="2" t="inlineStr">
        <is>
          <t>Đồ uống</t>
        </is>
      </c>
      <c r="D7" s="3" t="n">
        <v>45000</v>
      </c>
      <c r="E7" s="4" t="n">
        <v>31500</v>
      </c>
      <c r="F7" s="5">
        <f>(D7-E7)/D7</f>
        <v/>
      </c>
      <c r="G7" s="2">
        <f>IF(F7&gt;=35%,"Biên cao","Biên thấp")</f>
        <v/>
      </c>
      <c r="H7" s="2">
        <f>_xlfn.IFS(D7&gt;=100000,"Cao",D7&gt;=30000,"Trung",TRUE,"Thấp")</f>
        <v/>
      </c>
      <c r="I7" s="2">
        <f>AND(C7="Bánh kẹo",F7&gt;=35%)</f>
        <v/>
      </c>
      <c r="J7" s="2">
        <f>OR(C7="Sữa",C7="Thực phẩm khô")</f>
        <v/>
      </c>
      <c r="K7" s="2">
        <f>NOT(J7)</f>
        <v/>
      </c>
      <c r="L7" s="5">
        <f>IFERROR((D7-E7)/D7,"Chưa có giá")</f>
        <v/>
      </c>
    </row>
    <row r="8">
      <c r="A8" s="2" t="inlineStr">
        <is>
          <t>P007</t>
        </is>
      </c>
      <c r="B8" s="2" t="inlineStr">
        <is>
          <t>Bia lon 330ml (thùng 24 lon)</t>
        </is>
      </c>
      <c r="C8" s="2" t="inlineStr">
        <is>
          <t>Đồ uống</t>
        </is>
      </c>
      <c r="D8" s="3" t="n">
        <v>345000</v>
      </c>
      <c r="E8" s="4" t="n">
        <v>283000</v>
      </c>
      <c r="F8" s="5">
        <f>(D8-E8)/D8</f>
        <v/>
      </c>
      <c r="G8" s="2">
        <f>IF(F8&gt;=35%,"Biên cao","Biên thấp")</f>
        <v/>
      </c>
      <c r="H8" s="2">
        <f>_xlfn.IFS(D8&gt;=100000,"Cao",D8&gt;=30000,"Trung",TRUE,"Thấp")</f>
        <v/>
      </c>
      <c r="I8" s="2">
        <f>AND(C8="Bánh kẹo",F8&gt;=35%)</f>
        <v/>
      </c>
      <c r="J8" s="2">
        <f>OR(C8="Sữa",C8="Thực phẩm khô")</f>
        <v/>
      </c>
      <c r="K8" s="2">
        <f>NOT(J8)</f>
        <v/>
      </c>
      <c r="L8" s="5">
        <f>IFERROR((D8-E8)/D8,"Chưa có giá")</f>
        <v/>
      </c>
    </row>
    <row r="9">
      <c r="A9" s="2" t="inlineStr">
        <is>
          <t>P008</t>
        </is>
      </c>
      <c r="B9" s="2" t="inlineStr">
        <is>
          <t>Sữa tươi tiệt trùng 1L</t>
        </is>
      </c>
      <c r="C9" s="2" t="inlineStr">
        <is>
          <t>Sữa</t>
        </is>
      </c>
      <c r="D9" s="3" t="n">
        <v>36000</v>
      </c>
      <c r="E9" s="4" t="n">
        <v>28000</v>
      </c>
      <c r="F9" s="5">
        <f>(D9-E9)/D9</f>
        <v/>
      </c>
      <c r="G9" s="2">
        <f>IF(F9&gt;=35%,"Biên cao","Biên thấp")</f>
        <v/>
      </c>
      <c r="H9" s="2">
        <f>_xlfn.IFS(D9&gt;=100000,"Cao",D9&gt;=30000,"Trung",TRUE,"Thấp")</f>
        <v/>
      </c>
      <c r="I9" s="2">
        <f>AND(C9="Bánh kẹo",F9&gt;=35%)</f>
        <v/>
      </c>
      <c r="J9" s="2">
        <f>OR(C9="Sữa",C9="Thực phẩm khô")</f>
        <v/>
      </c>
      <c r="K9" s="2">
        <f>NOT(J9)</f>
        <v/>
      </c>
      <c r="L9" s="5">
        <f>IFERROR((D9-E9)/D9,"Chưa có giá")</f>
        <v/>
      </c>
    </row>
    <row r="10">
      <c r="A10" s="2" t="inlineStr">
        <is>
          <t>P009</t>
        </is>
      </c>
      <c r="B10" s="2" t="inlineStr">
        <is>
          <t>Sữa tươi 180ml (lốc 4 hộp)</t>
        </is>
      </c>
      <c r="C10" s="2" t="inlineStr">
        <is>
          <t>Sữa</t>
        </is>
      </c>
      <c r="D10" s="3" t="n">
        <v>32000</v>
      </c>
      <c r="E10" s="4" t="n">
        <v>25000</v>
      </c>
      <c r="F10" s="5">
        <f>(D10-E10)/D10</f>
        <v/>
      </c>
      <c r="G10" s="2">
        <f>IF(F10&gt;=35%,"Biên cao","Biên thấp")</f>
        <v/>
      </c>
      <c r="H10" s="2">
        <f>_xlfn.IFS(D10&gt;=100000,"Cao",D10&gt;=30000,"Trung",TRUE,"Thấp")</f>
        <v/>
      </c>
      <c r="I10" s="2">
        <f>AND(C10="Bánh kẹo",F10&gt;=35%)</f>
        <v/>
      </c>
      <c r="J10" s="2">
        <f>OR(C10="Sữa",C10="Thực phẩm khô")</f>
        <v/>
      </c>
      <c r="K10" s="2">
        <f>NOT(J10)</f>
        <v/>
      </c>
      <c r="L10" s="5">
        <f>IFERROR((D10-E10)/D10,"Chưa có giá")</f>
        <v/>
      </c>
    </row>
    <row r="11">
      <c r="A11" s="2" t="inlineStr">
        <is>
          <t>P010</t>
        </is>
      </c>
      <c r="B11" s="2" t="inlineStr">
        <is>
          <t>Sữa chua ăn (lốc 4 hộp)</t>
        </is>
      </c>
      <c r="C11" s="2" t="inlineStr">
        <is>
          <t>Sữa</t>
        </is>
      </c>
      <c r="D11" s="3" t="n">
        <v>28000</v>
      </c>
      <c r="E11" s="4" t="n">
        <v>20000</v>
      </c>
      <c r="F11" s="5">
        <f>(D11-E11)/D11</f>
        <v/>
      </c>
      <c r="G11" s="2">
        <f>IF(F11&gt;=35%,"Biên cao","Biên thấp")</f>
        <v/>
      </c>
      <c r="H11" s="2">
        <f>_xlfn.IFS(D11&gt;=100000,"Cao",D11&gt;=30000,"Trung",TRUE,"Thấp")</f>
        <v/>
      </c>
      <c r="I11" s="2">
        <f>AND(C11="Bánh kẹo",F11&gt;=35%)</f>
        <v/>
      </c>
      <c r="J11" s="2">
        <f>OR(C11="Sữa",C11="Thực phẩm khô")</f>
        <v/>
      </c>
      <c r="K11" s="2">
        <f>NOT(J11)</f>
        <v/>
      </c>
      <c r="L11" s="5">
        <f>IFERROR((D11-E11)/D11,"Chưa có giá")</f>
        <v/>
      </c>
    </row>
    <row r="12">
      <c r="A12" s="2" t="inlineStr">
        <is>
          <t>P011</t>
        </is>
      </c>
      <c r="B12" s="2" t="inlineStr">
        <is>
          <t>Sữa bột trẻ em 800g</t>
        </is>
      </c>
      <c r="C12" s="2" t="inlineStr">
        <is>
          <t>Sữa</t>
        </is>
      </c>
      <c r="D12" s="3" t="n">
        <v>485000</v>
      </c>
      <c r="E12" s="4" t="n">
        <v>388000</v>
      </c>
      <c r="F12" s="5">
        <f>(D12-E12)/D12</f>
        <v/>
      </c>
      <c r="G12" s="2">
        <f>IF(F12&gt;=35%,"Biên cao","Biên thấp")</f>
        <v/>
      </c>
      <c r="H12" s="2">
        <f>_xlfn.IFS(D12&gt;=100000,"Cao",D12&gt;=30000,"Trung",TRUE,"Thấp")</f>
        <v/>
      </c>
      <c r="I12" s="2">
        <f>AND(C12="Bánh kẹo",F12&gt;=35%)</f>
        <v/>
      </c>
      <c r="J12" s="2">
        <f>OR(C12="Sữa",C12="Thực phẩm khô")</f>
        <v/>
      </c>
      <c r="K12" s="2">
        <f>NOT(J12)</f>
        <v/>
      </c>
      <c r="L12" s="5">
        <f>IFERROR((D12-E12)/D12,"Chưa có giá")</f>
        <v/>
      </c>
    </row>
    <row r="13">
      <c r="A13" s="2" t="inlineStr">
        <is>
          <t>P012</t>
        </is>
      </c>
      <c r="B13" s="2" t="inlineStr">
        <is>
          <t>Sữa đặc có đường 380g</t>
        </is>
      </c>
      <c r="C13" s="2" t="inlineStr">
        <is>
          <t>Sữa</t>
        </is>
      </c>
      <c r="D13" s="3" t="n">
        <v>26000</v>
      </c>
      <c r="E13" s="4" t="n">
        <v>20000</v>
      </c>
      <c r="F13" s="5">
        <f>(D13-E13)/D13</f>
        <v/>
      </c>
      <c r="G13" s="2">
        <f>IF(F13&gt;=35%,"Biên cao","Biên thấp")</f>
        <v/>
      </c>
      <c r="H13" s="2">
        <f>_xlfn.IFS(D13&gt;=100000,"Cao",D13&gt;=30000,"Trung",TRUE,"Thấp")</f>
        <v/>
      </c>
      <c r="I13" s="2">
        <f>AND(C13="Bánh kẹo",F13&gt;=35%)</f>
        <v/>
      </c>
      <c r="J13" s="2">
        <f>OR(C13="Sữa",C13="Thực phẩm khô")</f>
        <v/>
      </c>
      <c r="K13" s="2">
        <f>NOT(J13)</f>
        <v/>
      </c>
      <c r="L13" s="5">
        <f>IFERROR((D13-E13)/D13,"Chưa có giá")</f>
        <v/>
      </c>
    </row>
    <row r="14">
      <c r="A14" s="2" t="inlineStr">
        <is>
          <t>P013</t>
        </is>
      </c>
      <c r="B14" s="2" t="inlineStr">
        <is>
          <t>Mì ăn liền tôm chua cay (thùng 30 gói)</t>
        </is>
      </c>
      <c r="C14" s="2" t="inlineStr">
        <is>
          <t>Thực phẩm khô</t>
        </is>
      </c>
      <c r="D14" s="3" t="n">
        <v>128000</v>
      </c>
      <c r="E14" s="4" t="n">
        <v>102500</v>
      </c>
      <c r="F14" s="5">
        <f>(D14-E14)/D14</f>
        <v/>
      </c>
      <c r="G14" s="2">
        <f>IF(F14&gt;=35%,"Biên cao","Biên thấp")</f>
        <v/>
      </c>
      <c r="H14" s="2">
        <f>_xlfn.IFS(D14&gt;=100000,"Cao",D14&gt;=30000,"Trung",TRUE,"Thấp")</f>
        <v/>
      </c>
      <c r="I14" s="2">
        <f>AND(C14="Bánh kẹo",F14&gt;=35%)</f>
        <v/>
      </c>
      <c r="J14" s="2">
        <f>OR(C14="Sữa",C14="Thực phẩm khô")</f>
        <v/>
      </c>
      <c r="K14" s="2">
        <f>NOT(J14)</f>
        <v/>
      </c>
      <c r="L14" s="5">
        <f>IFERROR((D14-E14)/D14,"Chưa có giá")</f>
        <v/>
      </c>
    </row>
    <row r="15">
      <c r="A15" s="2" t="inlineStr">
        <is>
          <t>P014</t>
        </is>
      </c>
      <c r="B15" s="2" t="inlineStr">
        <is>
          <t>Gạo thơm 5kg</t>
        </is>
      </c>
      <c r="C15" s="2" t="inlineStr">
        <is>
          <t>Thực phẩm khô</t>
        </is>
      </c>
      <c r="D15" s="3" t="n">
        <v>145000</v>
      </c>
      <c r="E15" s="4" t="n">
        <v>119000</v>
      </c>
      <c r="F15" s="5">
        <f>(D15-E15)/D15</f>
        <v/>
      </c>
      <c r="G15" s="2">
        <f>IF(F15&gt;=35%,"Biên cao","Biên thấp")</f>
        <v/>
      </c>
      <c r="H15" s="2">
        <f>_xlfn.IFS(D15&gt;=100000,"Cao",D15&gt;=30000,"Trung",TRUE,"Thấp")</f>
        <v/>
      </c>
      <c r="I15" s="2">
        <f>AND(C15="Bánh kẹo",F15&gt;=35%)</f>
        <v/>
      </c>
      <c r="J15" s="2">
        <f>OR(C15="Sữa",C15="Thực phẩm khô")</f>
        <v/>
      </c>
      <c r="K15" s="2">
        <f>NOT(J15)</f>
        <v/>
      </c>
      <c r="L15" s="5">
        <f>IFERROR((D15-E15)/D15,"Chưa có giá")</f>
        <v/>
      </c>
    </row>
    <row r="16">
      <c r="A16" s="2" t="inlineStr">
        <is>
          <t>P015</t>
        </is>
      </c>
      <c r="B16" s="2" t="inlineStr">
        <is>
          <t>Dầu ăn thực vật 1L</t>
        </is>
      </c>
      <c r="C16" s="2" t="inlineStr">
        <is>
          <t>Thực phẩm khô</t>
        </is>
      </c>
      <c r="D16" s="3" t="n">
        <v>52000</v>
      </c>
      <c r="E16" s="4" t="n">
        <v>41500</v>
      </c>
      <c r="F16" s="5">
        <f>(D16-E16)/D16</f>
        <v/>
      </c>
      <c r="G16" s="2">
        <f>IF(F16&gt;=35%,"Biên cao","Biên thấp")</f>
        <v/>
      </c>
      <c r="H16" s="2">
        <f>_xlfn.IFS(D16&gt;=100000,"Cao",D16&gt;=30000,"Trung",TRUE,"Thấp")</f>
        <v/>
      </c>
      <c r="I16" s="2">
        <f>AND(C16="Bánh kẹo",F16&gt;=35%)</f>
        <v/>
      </c>
      <c r="J16" s="2">
        <f>OR(C16="Sữa",C16="Thực phẩm khô")</f>
        <v/>
      </c>
      <c r="K16" s="2">
        <f>NOT(J16)</f>
        <v/>
      </c>
      <c r="L16" s="5">
        <f>IFERROR((D16-E16)/D16,"Chưa có giá")</f>
        <v/>
      </c>
    </row>
    <row r="17">
      <c r="A17" s="2" t="inlineStr">
        <is>
          <t>P016</t>
        </is>
      </c>
      <c r="B17" s="2" t="inlineStr">
        <is>
          <t>Nước mắm 500ml</t>
        </is>
      </c>
      <c r="C17" s="2" t="inlineStr">
        <is>
          <t>Thực phẩm khô</t>
        </is>
      </c>
      <c r="D17" s="3" t="n">
        <v>38000</v>
      </c>
      <c r="E17" s="4" t="n">
        <v>26500</v>
      </c>
      <c r="F17" s="5">
        <f>(D17-E17)/D17</f>
        <v/>
      </c>
      <c r="G17" s="2">
        <f>IF(F17&gt;=35%,"Biên cao","Biên thấp")</f>
        <v/>
      </c>
      <c r="H17" s="2">
        <f>_xlfn.IFS(D17&gt;=100000,"Cao",D17&gt;=30000,"Trung",TRUE,"Thấp")</f>
        <v/>
      </c>
      <c r="I17" s="2">
        <f>AND(C17="Bánh kẹo",F17&gt;=35%)</f>
        <v/>
      </c>
      <c r="J17" s="2">
        <f>OR(C17="Sữa",C17="Thực phẩm khô")</f>
        <v/>
      </c>
      <c r="K17" s="2">
        <f>NOT(J17)</f>
        <v/>
      </c>
      <c r="L17" s="5">
        <f>IFERROR((D17-E17)/D17,"Chưa có giá")</f>
        <v/>
      </c>
    </row>
    <row r="18">
      <c r="A18" s="2" t="inlineStr">
        <is>
          <t>P017</t>
        </is>
      </c>
      <c r="B18" s="2" t="inlineStr">
        <is>
          <t>Đường trắng 1kg</t>
        </is>
      </c>
      <c r="C18" s="2" t="inlineStr">
        <is>
          <t>Thực phẩm khô</t>
        </is>
      </c>
      <c r="D18" s="3" t="n">
        <v>27000</v>
      </c>
      <c r="E18" s="4" t="n">
        <v>22500</v>
      </c>
      <c r="F18" s="5">
        <f>(D18-E18)/D18</f>
        <v/>
      </c>
      <c r="G18" s="2">
        <f>IF(F18&gt;=35%,"Biên cao","Biên thấp")</f>
        <v/>
      </c>
      <c r="H18" s="2">
        <f>_xlfn.IFS(D18&gt;=100000,"Cao",D18&gt;=30000,"Trung",TRUE,"Thấp")</f>
        <v/>
      </c>
      <c r="I18" s="2">
        <f>AND(C18="Bánh kẹo",F18&gt;=35%)</f>
        <v/>
      </c>
      <c r="J18" s="2">
        <f>OR(C18="Sữa",C18="Thực phẩm khô")</f>
        <v/>
      </c>
      <c r="K18" s="2">
        <f>NOT(J18)</f>
        <v/>
      </c>
      <c r="L18" s="5">
        <f>IFERROR((D18-E18)/D18,"Chưa có giá")</f>
        <v/>
      </c>
    </row>
    <row r="19">
      <c r="A19" s="2" t="inlineStr">
        <is>
          <t>P018</t>
        </is>
      </c>
      <c r="B19" s="2" t="inlineStr">
        <is>
          <t>Hạt nêm 400g</t>
        </is>
      </c>
      <c r="C19" s="2" t="inlineStr">
        <is>
          <t>Thực phẩm khô</t>
        </is>
      </c>
      <c r="D19" s="3" t="n">
        <v>42000</v>
      </c>
      <c r="E19" s="4" t="n">
        <v>30000</v>
      </c>
      <c r="F19" s="5">
        <f>(D19-E19)/D19</f>
        <v/>
      </c>
      <c r="G19" s="2">
        <f>IF(F19&gt;=35%,"Biên cao","Biên thấp")</f>
        <v/>
      </c>
      <c r="H19" s="2">
        <f>_xlfn.IFS(D19&gt;=100000,"Cao",D19&gt;=30000,"Trung",TRUE,"Thấp")</f>
        <v/>
      </c>
      <c r="I19" s="2">
        <f>AND(C19="Bánh kẹo",F19&gt;=35%)</f>
        <v/>
      </c>
      <c r="J19" s="2">
        <f>OR(C19="Sữa",C19="Thực phẩm khô")</f>
        <v/>
      </c>
      <c r="K19" s="2">
        <f>NOT(J19)</f>
        <v/>
      </c>
      <c r="L19" s="5">
        <f>IFERROR((D19-E19)/D19,"Chưa có giá")</f>
        <v/>
      </c>
    </row>
    <row r="20">
      <c r="A20" s="2" t="inlineStr">
        <is>
          <t>P019</t>
        </is>
      </c>
      <c r="B20" s="2" t="inlineStr">
        <is>
          <t>Bún khô 500g</t>
        </is>
      </c>
      <c r="C20" s="2" t="inlineStr">
        <is>
          <t>Thực phẩm khô</t>
        </is>
      </c>
      <c r="D20" s="3" t="n">
        <v>24000</v>
      </c>
      <c r="E20" s="4" t="n">
        <v>17000</v>
      </c>
      <c r="F20" s="5">
        <f>(D20-E20)/D20</f>
        <v/>
      </c>
      <c r="G20" s="2">
        <f>IF(F20&gt;=35%,"Biên cao","Biên thấp")</f>
        <v/>
      </c>
      <c r="H20" s="2">
        <f>_xlfn.IFS(D20&gt;=100000,"Cao",D20&gt;=30000,"Trung",TRUE,"Thấp")</f>
        <v/>
      </c>
      <c r="I20" s="2">
        <f>AND(C20="Bánh kẹo",F20&gt;=35%)</f>
        <v/>
      </c>
      <c r="J20" s="2">
        <f>OR(C20="Sữa",C20="Thực phẩm khô")</f>
        <v/>
      </c>
      <c r="K20" s="2">
        <f>NOT(J20)</f>
        <v/>
      </c>
      <c r="L20" s="5">
        <f>IFERROR((D20-E20)/D20,"Chưa có giá")</f>
        <v/>
      </c>
    </row>
    <row r="21">
      <c r="A21" s="2" t="inlineStr">
        <is>
          <t>P020</t>
        </is>
      </c>
      <c r="B21" s="2" t="inlineStr">
        <is>
          <t>Cá hộp sốt cà 155g</t>
        </is>
      </c>
      <c r="C21" s="2" t="inlineStr">
        <is>
          <t>Thực phẩm khô</t>
        </is>
      </c>
      <c r="D21" s="3" t="n">
        <v>22000</v>
      </c>
      <c r="E21" s="4" t="n">
        <v>16000</v>
      </c>
      <c r="F21" s="5">
        <f>(D21-E21)/D21</f>
        <v/>
      </c>
      <c r="G21" s="2">
        <f>IF(F21&gt;=35%,"Biên cao","Biên thấp")</f>
        <v/>
      </c>
      <c r="H21" s="2">
        <f>_xlfn.IFS(D21&gt;=100000,"Cao",D21&gt;=30000,"Trung",TRUE,"Thấp")</f>
        <v/>
      </c>
      <c r="I21" s="2">
        <f>AND(C21="Bánh kẹo",F21&gt;=35%)</f>
        <v/>
      </c>
      <c r="J21" s="2">
        <f>OR(C21="Sữa",C21="Thực phẩm khô")</f>
        <v/>
      </c>
      <c r="K21" s="2">
        <f>NOT(J21)</f>
        <v/>
      </c>
      <c r="L21" s="5">
        <f>IFERROR((D21-E21)/D21,"Chưa có giá")</f>
        <v/>
      </c>
    </row>
    <row r="22">
      <c r="A22" s="2" t="inlineStr">
        <is>
          <t>P021</t>
        </is>
      </c>
      <c r="B22" s="2" t="inlineStr">
        <is>
          <t>Bánh quy bơ hộp thiếc 454g</t>
        </is>
      </c>
      <c r="C22" s="2" t="inlineStr">
        <is>
          <t>Bánh kẹo</t>
        </is>
      </c>
      <c r="D22" s="3" t="n">
        <v>115000</v>
      </c>
      <c r="E22" s="4" t="n">
        <v>69000</v>
      </c>
      <c r="F22" s="5">
        <f>(D22-E22)/D22</f>
        <v/>
      </c>
      <c r="G22" s="2">
        <f>IF(F22&gt;=35%,"Biên cao","Biên thấp")</f>
        <v/>
      </c>
      <c r="H22" s="2">
        <f>_xlfn.IFS(D22&gt;=100000,"Cao",D22&gt;=30000,"Trung",TRUE,"Thấp")</f>
        <v/>
      </c>
      <c r="I22" s="2">
        <f>AND(C22="Bánh kẹo",F22&gt;=35%)</f>
        <v/>
      </c>
      <c r="J22" s="2">
        <f>OR(C22="Sữa",C22="Thực phẩm khô")</f>
        <v/>
      </c>
      <c r="K22" s="2">
        <f>NOT(J22)</f>
        <v/>
      </c>
      <c r="L22" s="5">
        <f>IFERROR((D22-E22)/D22,"Chưa có giá")</f>
        <v/>
      </c>
    </row>
    <row r="23">
      <c r="A23" s="2" t="inlineStr">
        <is>
          <t>P022</t>
        </is>
      </c>
      <c r="B23" s="2" t="inlineStr">
        <is>
          <t>Kẹo trái cây hộp 250g</t>
        </is>
      </c>
      <c r="C23" s="2" t="inlineStr">
        <is>
          <t>Bánh kẹo</t>
        </is>
      </c>
      <c r="D23" s="3" t="n">
        <v>48000</v>
      </c>
      <c r="E23" s="4" t="n">
        <v>28000</v>
      </c>
      <c r="F23" s="5">
        <f>(D23-E23)/D23</f>
        <v/>
      </c>
      <c r="G23" s="2">
        <f>IF(F23&gt;=35%,"Biên cao","Biên thấp")</f>
        <v/>
      </c>
      <c r="H23" s="2">
        <f>_xlfn.IFS(D23&gt;=100000,"Cao",D23&gt;=30000,"Trung",TRUE,"Thấp")</f>
        <v/>
      </c>
      <c r="I23" s="2">
        <f>AND(C23="Bánh kẹo",F23&gt;=35%)</f>
        <v/>
      </c>
      <c r="J23" s="2">
        <f>OR(C23="Sữa",C23="Thực phẩm khô")</f>
        <v/>
      </c>
      <c r="K23" s="2">
        <f>NOT(J23)</f>
        <v/>
      </c>
      <c r="L23" s="5">
        <f>IFERROR((D23-E23)/D23,"Chưa có giá")</f>
        <v/>
      </c>
    </row>
    <row r="24">
      <c r="A24" s="2" t="inlineStr">
        <is>
          <t>P023</t>
        </is>
      </c>
      <c r="B24" s="2" t="inlineStr">
        <is>
          <t>Hạt điều rang muối 500g</t>
        </is>
      </c>
      <c r="C24" s="2" t="inlineStr">
        <is>
          <t>Bánh kẹo</t>
        </is>
      </c>
      <c r="D24" s="3" t="n">
        <v>185000</v>
      </c>
      <c r="E24" s="4" t="n">
        <v>120000</v>
      </c>
      <c r="F24" s="5">
        <f>(D24-E24)/D24</f>
        <v/>
      </c>
      <c r="G24" s="2">
        <f>IF(F24&gt;=35%,"Biên cao","Biên thấp")</f>
        <v/>
      </c>
      <c r="H24" s="2">
        <f>_xlfn.IFS(D24&gt;=100000,"Cao",D24&gt;=30000,"Trung",TRUE,"Thấp")</f>
        <v/>
      </c>
      <c r="I24" s="2">
        <f>AND(C24="Bánh kẹo",F24&gt;=35%)</f>
        <v/>
      </c>
      <c r="J24" s="2">
        <f>OR(C24="Sữa",C24="Thực phẩm khô")</f>
        <v/>
      </c>
      <c r="K24" s="2">
        <f>NOT(J24)</f>
        <v/>
      </c>
      <c r="L24" s="5">
        <f>IFERROR((D24-E24)/D24,"Chưa có giá")</f>
        <v/>
      </c>
    </row>
    <row r="25">
      <c r="A25" s="2" t="inlineStr">
        <is>
          <t>P024</t>
        </is>
      </c>
      <c r="B25" s="2" t="inlineStr">
        <is>
          <t>Mứt Tết thập cẩm 500g</t>
        </is>
      </c>
      <c r="C25" s="2" t="inlineStr">
        <is>
          <t>Bánh kẹo</t>
        </is>
      </c>
      <c r="D25" s="3" t="n">
        <v>95000</v>
      </c>
      <c r="E25" s="4" t="n">
        <v>52500</v>
      </c>
      <c r="F25" s="5">
        <f>(D25-E25)/D25</f>
        <v/>
      </c>
      <c r="G25" s="2">
        <f>IF(F25&gt;=35%,"Biên cao","Biên thấp")</f>
        <v/>
      </c>
      <c r="H25" s="2">
        <f>_xlfn.IFS(D25&gt;=100000,"Cao",D25&gt;=30000,"Trung",TRUE,"Thấp")</f>
        <v/>
      </c>
      <c r="I25" s="2">
        <f>AND(C25="Bánh kẹo",F25&gt;=35%)</f>
        <v/>
      </c>
      <c r="J25" s="2">
        <f>OR(C25="Sữa",C25="Thực phẩm khô")</f>
        <v/>
      </c>
      <c r="K25" s="2">
        <f>NOT(J25)</f>
        <v/>
      </c>
      <c r="L25" s="5">
        <f>IFERROR((D25-E25)/D25,"Chưa có giá")</f>
        <v/>
      </c>
    </row>
    <row r="26">
      <c r="A26" s="2" t="inlineStr">
        <is>
          <t>P025</t>
        </is>
      </c>
      <c r="B26" s="2" t="inlineStr">
        <is>
          <t>Socola thanh 100g</t>
        </is>
      </c>
      <c r="C26" s="2" t="inlineStr">
        <is>
          <t>Bánh kẹo</t>
        </is>
      </c>
      <c r="D26" s="3" t="n">
        <v>42000</v>
      </c>
      <c r="E26" s="4" t="n">
        <v>26000</v>
      </c>
      <c r="F26" s="5">
        <f>(D26-E26)/D26</f>
        <v/>
      </c>
      <c r="G26" s="2">
        <f>IF(F26&gt;=35%,"Biên cao","Biên thấp")</f>
        <v/>
      </c>
      <c r="H26" s="2">
        <f>_xlfn.IFS(D26&gt;=100000,"Cao",D26&gt;=30000,"Trung",TRUE,"Thấp")</f>
        <v/>
      </c>
      <c r="I26" s="2">
        <f>AND(C26="Bánh kẹo",F26&gt;=35%)</f>
        <v/>
      </c>
      <c r="J26" s="2">
        <f>OR(C26="Sữa",C26="Thực phẩm khô")</f>
        <v/>
      </c>
      <c r="K26" s="2">
        <f>NOT(J26)</f>
        <v/>
      </c>
      <c r="L26" s="5">
        <f>IFERROR((D26-E26)/D26,"Chưa có giá")</f>
        <v/>
      </c>
    </row>
    <row r="27">
      <c r="A27" s="2" t="inlineStr">
        <is>
          <t>P026</t>
        </is>
      </c>
      <c r="B27" s="2" t="inlineStr">
        <is>
          <t>Bánh snack khoai tây 90g</t>
        </is>
      </c>
      <c r="C27" s="2" t="inlineStr">
        <is>
          <t>Bánh kẹo</t>
        </is>
      </c>
      <c r="D27" s="3" t="n">
        <v>19000</v>
      </c>
      <c r="E27" s="4" t="n">
        <v>11500</v>
      </c>
      <c r="F27" s="5">
        <f>(D27-E27)/D27</f>
        <v/>
      </c>
      <c r="G27" s="2">
        <f>IF(F27&gt;=35%,"Biên cao","Biên thấp")</f>
        <v/>
      </c>
      <c r="H27" s="2">
        <f>_xlfn.IFS(D27&gt;=100000,"Cao",D27&gt;=30000,"Trung",TRUE,"Thấp")</f>
        <v/>
      </c>
      <c r="I27" s="2">
        <f>AND(C27="Bánh kẹo",F27&gt;=35%)</f>
        <v/>
      </c>
      <c r="J27" s="2">
        <f>OR(C27="Sữa",C27="Thực phẩm khô")</f>
        <v/>
      </c>
      <c r="K27" s="2">
        <f>NOT(J27)</f>
        <v/>
      </c>
      <c r="L27" s="5">
        <f>IFERROR((D27-E27)/D27,"Chưa có giá")</f>
        <v/>
      </c>
    </row>
    <row r="28">
      <c r="A28" s="2" t="inlineStr">
        <is>
          <t>P027</t>
        </is>
      </c>
      <c r="B28" s="2" t="inlineStr">
        <is>
          <t>Hộp quà Tết cao cấp</t>
        </is>
      </c>
      <c r="C28" s="2" t="inlineStr">
        <is>
          <t>Bánh kẹo</t>
        </is>
      </c>
      <c r="D28" s="3" t="n">
        <v>650000</v>
      </c>
      <c r="E28" s="4" t="n">
        <v>390000</v>
      </c>
      <c r="F28" s="5">
        <f>(D28-E28)/D28</f>
        <v/>
      </c>
      <c r="G28" s="2">
        <f>IF(F28&gt;=35%,"Biên cao","Biên thấp")</f>
        <v/>
      </c>
      <c r="H28" s="2">
        <f>_xlfn.IFS(D28&gt;=100000,"Cao",D28&gt;=30000,"Trung",TRUE,"Thấp")</f>
        <v/>
      </c>
      <c r="I28" s="2">
        <f>AND(C28="Bánh kẹo",F28&gt;=35%)</f>
        <v/>
      </c>
      <c r="J28" s="2">
        <f>OR(C28="Sữa",C28="Thực phẩm khô")</f>
        <v/>
      </c>
      <c r="K28" s="2">
        <f>NOT(J28)</f>
        <v/>
      </c>
      <c r="L28" s="5">
        <f>IFERROR((D28-E28)/D28,"Chưa có giá")</f>
        <v/>
      </c>
    </row>
    <row r="29">
      <c r="A29" s="2" t="inlineStr">
        <is>
          <t>P028</t>
        </is>
      </c>
      <c r="B29" s="2" t="inlineStr">
        <is>
          <t>Dầu gội 650ml</t>
        </is>
      </c>
      <c r="C29" s="2" t="inlineStr">
        <is>
          <t>Chăm sóc cá nhân</t>
        </is>
      </c>
      <c r="D29" s="3" t="n">
        <v>165000</v>
      </c>
      <c r="E29" s="4" t="n">
        <v>102500</v>
      </c>
      <c r="F29" s="5">
        <f>(D29-E29)/D29</f>
        <v/>
      </c>
      <c r="G29" s="2">
        <f>IF(F29&gt;=35%,"Biên cao","Biên thấp")</f>
        <v/>
      </c>
      <c r="H29" s="2">
        <f>_xlfn.IFS(D29&gt;=100000,"Cao",D29&gt;=30000,"Trung",TRUE,"Thấp")</f>
        <v/>
      </c>
      <c r="I29" s="2">
        <f>AND(C29="Bánh kẹo",F29&gt;=35%)</f>
        <v/>
      </c>
      <c r="J29" s="2">
        <f>OR(C29="Sữa",C29="Thực phẩm khô")</f>
        <v/>
      </c>
      <c r="K29" s="2">
        <f>NOT(J29)</f>
        <v/>
      </c>
      <c r="L29" s="5">
        <f>IFERROR((D29-E29)/D29,"Chưa có giá")</f>
        <v/>
      </c>
    </row>
    <row r="30">
      <c r="A30" s="2" t="inlineStr">
        <is>
          <t>P029</t>
        </is>
      </c>
      <c r="B30" s="2" t="inlineStr">
        <is>
          <t>Sữa tắm 800ml</t>
        </is>
      </c>
      <c r="C30" s="2" t="inlineStr">
        <is>
          <t>Chăm sóc cá nhân</t>
        </is>
      </c>
      <c r="D30" s="3" t="n">
        <v>145000</v>
      </c>
      <c r="E30" s="4" t="n">
        <v>90000</v>
      </c>
      <c r="F30" s="5">
        <f>(D30-E30)/D30</f>
        <v/>
      </c>
      <c r="G30" s="2">
        <f>IF(F30&gt;=35%,"Biên cao","Biên thấp")</f>
        <v/>
      </c>
      <c r="H30" s="2">
        <f>_xlfn.IFS(D30&gt;=100000,"Cao",D30&gt;=30000,"Trung",TRUE,"Thấp")</f>
        <v/>
      </c>
      <c r="I30" s="2">
        <f>AND(C30="Bánh kẹo",F30&gt;=35%)</f>
        <v/>
      </c>
      <c r="J30" s="2">
        <f>OR(C30="Sữa",C30="Thực phẩm khô")</f>
        <v/>
      </c>
      <c r="K30" s="2">
        <f>NOT(J30)</f>
        <v/>
      </c>
      <c r="L30" s="5">
        <f>IFERROR((D30-E30)/D30,"Chưa có giá")</f>
        <v/>
      </c>
    </row>
    <row r="31">
      <c r="A31" s="2" t="inlineStr">
        <is>
          <t>P030</t>
        </is>
      </c>
      <c r="B31" s="2" t="inlineStr">
        <is>
          <t>Kem đánh răng 230g</t>
        </is>
      </c>
      <c r="C31" s="2" t="inlineStr">
        <is>
          <t>Chăm sóc cá nhân</t>
        </is>
      </c>
      <c r="D31" s="3" t="n">
        <v>39000</v>
      </c>
      <c r="E31" s="4" t="n">
        <v>25000</v>
      </c>
      <c r="F31" s="5">
        <f>(D31-E31)/D31</f>
        <v/>
      </c>
      <c r="G31" s="2">
        <f>IF(F31&gt;=35%,"Biên cao","Biên thấp")</f>
        <v/>
      </c>
      <c r="H31" s="2">
        <f>_xlfn.IFS(D31&gt;=100000,"Cao",D31&gt;=30000,"Trung",TRUE,"Thấp")</f>
        <v/>
      </c>
      <c r="I31" s="2">
        <f>AND(C31="Bánh kẹo",F31&gt;=35%)</f>
        <v/>
      </c>
      <c r="J31" s="2">
        <f>OR(C31="Sữa",C31="Thực phẩm khô")</f>
        <v/>
      </c>
      <c r="K31" s="2">
        <f>NOT(J31)</f>
        <v/>
      </c>
      <c r="L31" s="5">
        <f>IFERROR((D31-E31)/D31,"Chưa có giá")</f>
        <v/>
      </c>
    </row>
    <row r="32">
      <c r="A32" s="2" t="inlineStr">
        <is>
          <t>P031</t>
        </is>
      </c>
      <c r="B32" s="2" t="inlineStr">
        <is>
          <t>Bàn chải đánh răng (vỉ 2)</t>
        </is>
      </c>
      <c r="C32" s="2" t="inlineStr">
        <is>
          <t>Chăm sóc cá nhân</t>
        </is>
      </c>
      <c r="D32" s="3" t="n">
        <v>35000</v>
      </c>
      <c r="E32" s="4" t="n">
        <v>19000</v>
      </c>
      <c r="F32" s="5">
        <f>(D32-E32)/D32</f>
        <v/>
      </c>
      <c r="G32" s="2">
        <f>IF(F32&gt;=35%,"Biên cao","Biên thấp")</f>
        <v/>
      </c>
      <c r="H32" s="2">
        <f>_xlfn.IFS(D32&gt;=100000,"Cao",D32&gt;=30000,"Trung",TRUE,"Thấp")</f>
        <v/>
      </c>
      <c r="I32" s="2">
        <f>AND(C32="Bánh kẹo",F32&gt;=35%)</f>
        <v/>
      </c>
      <c r="J32" s="2">
        <f>OR(C32="Sữa",C32="Thực phẩm khô")</f>
        <v/>
      </c>
      <c r="K32" s="2">
        <f>NOT(J32)</f>
        <v/>
      </c>
      <c r="L32" s="5">
        <f>IFERROR((D32-E32)/D32,"Chưa có giá")</f>
        <v/>
      </c>
    </row>
    <row r="33">
      <c r="A33" s="2" t="inlineStr">
        <is>
          <t>P032</t>
        </is>
      </c>
      <c r="B33" s="2" t="inlineStr">
        <is>
          <t>Khăn giấy rút (lốc 4 gói)</t>
        </is>
      </c>
      <c r="C33" s="2" t="inlineStr">
        <is>
          <t>Chăm sóc cá nhân</t>
        </is>
      </c>
      <c r="D33" s="3" t="n">
        <v>56000</v>
      </c>
      <c r="E33" s="4" t="n">
        <v>39000</v>
      </c>
      <c r="F33" s="5">
        <f>(D33-E33)/D33</f>
        <v/>
      </c>
      <c r="G33" s="2">
        <f>IF(F33&gt;=35%,"Biên cao","Biên thấp")</f>
        <v/>
      </c>
      <c r="H33" s="2">
        <f>_xlfn.IFS(D33&gt;=100000,"Cao",D33&gt;=30000,"Trung",TRUE,"Thấp")</f>
        <v/>
      </c>
      <c r="I33" s="2">
        <f>AND(C33="Bánh kẹo",F33&gt;=35%)</f>
        <v/>
      </c>
      <c r="J33" s="2">
        <f>OR(C33="Sữa",C33="Thực phẩm khô")</f>
        <v/>
      </c>
      <c r="K33" s="2">
        <f>NOT(J33)</f>
        <v/>
      </c>
      <c r="L33" s="5">
        <f>IFERROR((D33-E33)/D33,"Chưa có giá")</f>
        <v/>
      </c>
    </row>
    <row r="34">
      <c r="A34" s="2" t="inlineStr">
        <is>
          <t>P033</t>
        </is>
      </c>
      <c r="B34" s="2" t="inlineStr">
        <is>
          <t>Nước rửa tay 500ml</t>
        </is>
      </c>
      <c r="C34" s="2" t="inlineStr">
        <is>
          <t>Chăm sóc cá nhân</t>
        </is>
      </c>
      <c r="D34" s="3" t="n">
        <v>62000</v>
      </c>
      <c r="E34" s="4" t="n">
        <v>37000</v>
      </c>
      <c r="F34" s="5">
        <f>(D34-E34)/D34</f>
        <v/>
      </c>
      <c r="G34" s="2">
        <f>IF(F34&gt;=35%,"Biên cao","Biên thấp")</f>
        <v/>
      </c>
      <c r="H34" s="2">
        <f>_xlfn.IFS(D34&gt;=100000,"Cao",D34&gt;=30000,"Trung",TRUE,"Thấp")</f>
        <v/>
      </c>
      <c r="I34" s="2">
        <f>AND(C34="Bánh kẹo",F34&gt;=35%)</f>
        <v/>
      </c>
      <c r="J34" s="2">
        <f>OR(C34="Sữa",C34="Thực phẩm khô")</f>
        <v/>
      </c>
      <c r="K34" s="2">
        <f>NOT(J34)</f>
        <v/>
      </c>
      <c r="L34" s="5">
        <f>IFERROR((D34-E34)/D34,"Chưa có giá")</f>
        <v/>
      </c>
    </row>
    <row r="35">
      <c r="A35" s="2" t="inlineStr">
        <is>
          <t>P034</t>
        </is>
      </c>
      <c r="B35" s="2" t="inlineStr">
        <is>
          <t>Bột giặt 3kg</t>
        </is>
      </c>
      <c r="C35" s="2" t="inlineStr">
        <is>
          <t>Gia dụng</t>
        </is>
      </c>
      <c r="D35" s="3" t="n">
        <v>158000</v>
      </c>
      <c r="E35" s="4" t="n">
        <v>118500</v>
      </c>
      <c r="F35" s="5">
        <f>(D35-E35)/D35</f>
        <v/>
      </c>
      <c r="G35" s="2">
        <f>IF(F35&gt;=35%,"Biên cao","Biên thấp")</f>
        <v/>
      </c>
      <c r="H35" s="2">
        <f>_xlfn.IFS(D35&gt;=100000,"Cao",D35&gt;=30000,"Trung",TRUE,"Thấp")</f>
        <v/>
      </c>
      <c r="I35" s="2">
        <f>AND(C35="Bánh kẹo",F35&gt;=35%)</f>
        <v/>
      </c>
      <c r="J35" s="2">
        <f>OR(C35="Sữa",C35="Thực phẩm khô")</f>
        <v/>
      </c>
      <c r="K35" s="2">
        <f>NOT(J35)</f>
        <v/>
      </c>
      <c r="L35" s="5">
        <f>IFERROR((D35-E35)/D35,"Chưa có giá")</f>
        <v/>
      </c>
    </row>
    <row r="36">
      <c r="A36" s="2" t="inlineStr">
        <is>
          <t>P035</t>
        </is>
      </c>
      <c r="B36" s="2" t="inlineStr">
        <is>
          <t>Nước rửa chén 750ml</t>
        </is>
      </c>
      <c r="C36" s="2" t="inlineStr">
        <is>
          <t>Gia dụng</t>
        </is>
      </c>
      <c r="D36" s="3" t="n">
        <v>32000</v>
      </c>
      <c r="E36" s="4" t="n">
        <v>22500</v>
      </c>
      <c r="F36" s="5">
        <f>(D36-E36)/D36</f>
        <v/>
      </c>
      <c r="G36" s="2">
        <f>IF(F36&gt;=35%,"Biên cao","Biên thấp")</f>
        <v/>
      </c>
      <c r="H36" s="2">
        <f>_xlfn.IFS(D36&gt;=100000,"Cao",D36&gt;=30000,"Trung",TRUE,"Thấp")</f>
        <v/>
      </c>
      <c r="I36" s="2">
        <f>AND(C36="Bánh kẹo",F36&gt;=35%)</f>
        <v/>
      </c>
      <c r="J36" s="2">
        <f>OR(C36="Sữa",C36="Thực phẩm khô")</f>
        <v/>
      </c>
      <c r="K36" s="2">
        <f>NOT(J36)</f>
        <v/>
      </c>
      <c r="L36" s="5">
        <f>IFERROR((D36-E36)/D36,"Chưa có giá")</f>
        <v/>
      </c>
    </row>
    <row r="37">
      <c r="A37" s="2" t="inlineStr">
        <is>
          <t>P036</t>
        </is>
      </c>
      <c r="B37" s="2" t="inlineStr">
        <is>
          <t>Nước lau sàn 1L</t>
        </is>
      </c>
      <c r="C37" s="2" t="inlineStr">
        <is>
          <t>Gia dụng</t>
        </is>
      </c>
      <c r="D37" s="3" t="n">
        <v>45000</v>
      </c>
      <c r="E37" s="4" t="n">
        <v>30500</v>
      </c>
      <c r="F37" s="5">
        <f>(D37-E37)/D37</f>
        <v/>
      </c>
      <c r="G37" s="2">
        <f>IF(F37&gt;=35%,"Biên cao","Biên thấp")</f>
        <v/>
      </c>
      <c r="H37" s="2">
        <f>_xlfn.IFS(D37&gt;=100000,"Cao",D37&gt;=30000,"Trung",TRUE,"Thấp")</f>
        <v/>
      </c>
      <c r="I37" s="2">
        <f>AND(C37="Bánh kẹo",F37&gt;=35%)</f>
        <v/>
      </c>
      <c r="J37" s="2">
        <f>OR(C37="Sữa",C37="Thực phẩm khô")</f>
        <v/>
      </c>
      <c r="K37" s="2">
        <f>NOT(J37)</f>
        <v/>
      </c>
      <c r="L37" s="5">
        <f>IFERROR((D37-E37)/D37,"Chưa có giá")</f>
        <v/>
      </c>
    </row>
    <row r="38">
      <c r="A38" s="2" t="inlineStr">
        <is>
          <t>P037</t>
        </is>
      </c>
      <c r="B38" s="2" t="inlineStr">
        <is>
          <t>Túi đựng rác (cuộn 3)</t>
        </is>
      </c>
      <c r="C38" s="2" t="inlineStr">
        <is>
          <t>Gia dụng</t>
        </is>
      </c>
      <c r="D38" s="3" t="n">
        <v>25000</v>
      </c>
      <c r="E38" s="4" t="n">
        <v>14000</v>
      </c>
      <c r="F38" s="5">
        <f>(D38-E38)/D38</f>
        <v/>
      </c>
      <c r="G38" s="2">
        <f>IF(F38&gt;=35%,"Biên cao","Biên thấp")</f>
        <v/>
      </c>
      <c r="H38" s="2">
        <f>_xlfn.IFS(D38&gt;=100000,"Cao",D38&gt;=30000,"Trung",TRUE,"Thấp")</f>
        <v/>
      </c>
      <c r="I38" s="2">
        <f>AND(C38="Bánh kẹo",F38&gt;=35%)</f>
        <v/>
      </c>
      <c r="J38" s="2">
        <f>OR(C38="Sữa",C38="Thực phẩm khô")</f>
        <v/>
      </c>
      <c r="K38" s="2">
        <f>NOT(J38)</f>
        <v/>
      </c>
      <c r="L38" s="5">
        <f>IFERROR((D38-E38)/D38,"Chưa có giá")</f>
        <v/>
      </c>
    </row>
    <row r="39">
      <c r="A39" s="2" t="inlineStr">
        <is>
          <t>P038</t>
        </is>
      </c>
      <c r="B39" s="2" t="inlineStr">
        <is>
          <t>Hộp đựng thực phẩm (bộ 3)</t>
        </is>
      </c>
      <c r="C39" s="2" t="inlineStr">
        <is>
          <t>Gia dụng</t>
        </is>
      </c>
      <c r="D39" s="3" t="n">
        <v>89000</v>
      </c>
      <c r="E39" s="4" t="n">
        <v>44500</v>
      </c>
      <c r="F39" s="5">
        <f>(D39-E39)/D39</f>
        <v/>
      </c>
      <c r="G39" s="2">
        <f>IF(F39&gt;=35%,"Biên cao","Biên thấp")</f>
        <v/>
      </c>
      <c r="H39" s="2">
        <f>_xlfn.IFS(D39&gt;=100000,"Cao",D39&gt;=30000,"Trung",TRUE,"Thấp")</f>
        <v/>
      </c>
      <c r="I39" s="2">
        <f>AND(C39="Bánh kẹo",F39&gt;=35%)</f>
        <v/>
      </c>
      <c r="J39" s="2">
        <f>OR(C39="Sữa",C39="Thực phẩm khô")</f>
        <v/>
      </c>
      <c r="K39" s="2">
        <f>NOT(J39)</f>
        <v/>
      </c>
      <c r="L39" s="5">
        <f>IFERROR((D39-E39)/D39,"Chưa có giá")</f>
        <v/>
      </c>
    </row>
    <row r="40">
      <c r="A40" s="2" t="inlineStr">
        <is>
          <t>P039</t>
        </is>
      </c>
      <c r="B40" s="2" t="inlineStr">
        <is>
          <t>Chảo chống dính 26cm</t>
        </is>
      </c>
      <c r="C40" s="2" t="inlineStr">
        <is>
          <t>Gia dụng</t>
        </is>
      </c>
      <c r="D40" s="3" t="n">
        <v>245000</v>
      </c>
      <c r="E40" s="4" t="n">
        <v>135000</v>
      </c>
      <c r="F40" s="5">
        <f>(D40-E40)/D40</f>
        <v/>
      </c>
      <c r="G40" s="2">
        <f>IF(F40&gt;=35%,"Biên cao","Biên thấp")</f>
        <v/>
      </c>
      <c r="H40" s="2">
        <f>_xlfn.IFS(D40&gt;=100000,"Cao",D40&gt;=30000,"Trung",TRUE,"Thấp")</f>
        <v/>
      </c>
      <c r="I40" s="2">
        <f>AND(C40="Bánh kẹo",F40&gt;=35%)</f>
        <v/>
      </c>
      <c r="J40" s="2">
        <f>OR(C40="Sữa",C40="Thực phẩm khô")</f>
        <v/>
      </c>
      <c r="K40" s="2">
        <f>NOT(J40)</f>
        <v/>
      </c>
      <c r="L40" s="5">
        <f>IFERROR((D40-E40)/D40,"Chưa có giá")</f>
        <v/>
      </c>
    </row>
    <row r="41">
      <c r="A41" s="2" t="inlineStr">
        <is>
          <t>P040</t>
        </is>
      </c>
      <c r="B41" s="2" t="inlineStr">
        <is>
          <t>Nước xả vải 1.6L</t>
        </is>
      </c>
      <c r="C41" s="2" t="inlineStr">
        <is>
          <t>Gia dụng</t>
        </is>
      </c>
      <c r="D41" s="3" t="n">
        <v>99000</v>
      </c>
      <c r="E41" s="4" t="n">
        <v>71500</v>
      </c>
      <c r="F41" s="5">
        <f>(D41-E41)/D41</f>
        <v/>
      </c>
      <c r="G41" s="2">
        <f>IF(F41&gt;=35%,"Biên cao","Biên thấp")</f>
        <v/>
      </c>
      <c r="H41" s="2">
        <f>_xlfn.IFS(D41&gt;=100000,"Cao",D41&gt;=30000,"Trung",TRUE,"Thấp")</f>
        <v/>
      </c>
      <c r="I41" s="2">
        <f>AND(C41="Bánh kẹo",F41&gt;=35%)</f>
        <v/>
      </c>
      <c r="J41" s="2">
        <f>OR(C41="Sữa",C41="Thực phẩm khô")</f>
        <v/>
      </c>
      <c r="K41" s="2">
        <f>NOT(J41)</f>
        <v/>
      </c>
      <c r="L41" s="5">
        <f>IFERROR((D41-E41)/D41,"Chưa có giá")</f>
        <v/>
      </c>
    </row>
    <row r="42">
      <c r="A42" s="2" t="inlineStr">
        <is>
          <t>P041</t>
        </is>
      </c>
      <c r="B42" s="2" t="inlineStr">
        <is>
          <t>Trà sữa đóng chai 350ml (hàng mới, chưa có giá)</t>
        </is>
      </c>
      <c r="C42" s="2" t="inlineStr">
        <is>
          <t>Đồ uống</t>
        </is>
      </c>
      <c r="D42" s="3" t="n"/>
      <c r="E42" s="4" t="n">
        <v>14000</v>
      </c>
      <c r="F42" s="5">
        <f>(D42-E42)/D42</f>
        <v/>
      </c>
      <c r="G42" s="2">
        <f>IF(F42&gt;=35%,"Biên cao","Biên thấp")</f>
        <v/>
      </c>
      <c r="H42" s="2">
        <f>_xlfn.IFS(D42&gt;=100000,"Cao",D42&gt;=30000,"Trung",TRUE,"Thấp")</f>
        <v/>
      </c>
      <c r="I42" s="2">
        <f>AND(C42="Bánh kẹo",F42&gt;=35%)</f>
        <v/>
      </c>
      <c r="J42" s="2">
        <f>OR(C42="Sữa",C42="Thực phẩm khô")</f>
        <v/>
      </c>
      <c r="K42" s="2">
        <f>NOT(J42)</f>
        <v/>
      </c>
      <c r="L42" s="5">
        <f>IFERROR((D42-E42)/D42,"Chưa có giá")</f>
        <v/>
      </c>
    </row>
    <row r="43">
      <c r="A43" s="2" t="inlineStr">
        <is>
          <t>P042</t>
        </is>
      </c>
      <c r="B43" s="2" t="inlineStr">
        <is>
          <t>Nồi cơm điện 1,8L (hàng mới, chưa có giá)</t>
        </is>
      </c>
      <c r="C43" s="2" t="inlineStr">
        <is>
          <t>Gia dụng</t>
        </is>
      </c>
      <c r="D43" s="3" t="n"/>
      <c r="E43" s="4" t="n">
        <v>520000</v>
      </c>
      <c r="F43" s="5">
        <f>(D43-E43)/D43</f>
        <v/>
      </c>
      <c r="G43" s="2">
        <f>IF(F43&gt;=35%,"Biên cao","Biên thấp")</f>
        <v/>
      </c>
      <c r="H43" s="2">
        <f>_xlfn.IFS(D43&gt;=100000,"Cao",D43&gt;=30000,"Trung",TRUE,"Thấp")</f>
        <v/>
      </c>
      <c r="I43" s="2">
        <f>AND(C43="Bánh kẹo",F43&gt;=35%)</f>
        <v/>
      </c>
      <c r="J43" s="2">
        <f>OR(C43="Sữa",C43="Thực phẩm khô")</f>
        <v/>
      </c>
      <c r="K43" s="2">
        <f>NOT(J43)</f>
        <v/>
      </c>
      <c r="L43" s="5">
        <f>IFERROR((D43-E43)/D43,"Chưa có giá")</f>
        <v/>
      </c>
    </row>
    <row r="45">
      <c r="A45" s="6" t="inlineStr">
        <is>
          <t>Đếm</t>
        </is>
      </c>
    </row>
    <row r="46">
      <c r="A46" s="2" t="inlineStr">
        <is>
          <t>Số SP “Biên cao”</t>
        </is>
      </c>
      <c r="D46" s="6">
        <f>COUNTIF(G2:G43,"Biên cao")</f>
        <v/>
      </c>
    </row>
    <row r="47">
      <c r="A47" s="2" t="inlineStr">
        <is>
          <t>Số ô lỗi ở cột Margin_%</t>
        </is>
      </c>
      <c r="D47" s="6">
        <f>SUMPRODUCT(--ISERROR(F2:F43))</f>
        <v/>
      </c>
    </row>
    <row r="48">
      <c r="A48" s="2" t="inlineStr">
        <is>
          <t>Số SP phân khúc “Cao”</t>
        </is>
      </c>
      <c r="D48" s="6">
        <f>COUNTIF(H2:H43,"Cao")</f>
        <v/>
      </c>
    </row>
    <row r="49">
      <c r="A49" s="2" t="inlineStr">
        <is>
          <t>Số SP “Ưu tiên Tết” (TRUE)</t>
        </is>
      </c>
      <c r="D49" s="6">
        <f>COUNTIF(I2:I43,TRUE)</f>
        <v/>
      </c>
    </row>
    <row r="50">
      <c r="A50" s="2" t="inlineStr">
        <is>
          <t>Số SP thiết yếu (TRUE)</t>
        </is>
      </c>
      <c r="D50" s="6">
        <f>COUNTIF(J2:J43,TRUE)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2026-09-27T06:05:50Z</dcterms:created>
  <dcterms:modified xmlns:dcterms="http://purl.org/dc/terms/" xmlns:xsi="http://www.w3.org/2001/XMLSchema-instance" xsi:type="dcterms:W3CDTF">2026-09-27T06:05:50Z</dcterms:modified>
</cp:coreProperties>
</file>