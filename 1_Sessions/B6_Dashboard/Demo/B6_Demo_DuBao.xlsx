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Trendline" sheetId="1" state="visible" r:id="rId1"/>
    <sheet xmlns:r="http://schemas.openxmlformats.org/officeDocument/2006/relationships" name="Thong_ke" sheetId="2" state="visible" r:id="rId2"/>
    <sheet xmlns:r="http://schemas.openxmlformats.org/officeDocument/2006/relationships" name="Demo_ETS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%"/>
    <numFmt numFmtId="167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Ngay" displayName="tblNgay" ref="A3:B489" headerRowCount="1">
  <autoFilter ref="A3:B489"/>
  <tableColumns count="2">
    <tableColumn id="1" name="Ngay"/>
    <tableColumn id="2" name="Doanh th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Bảng Ngày–Doanh thu MCI Mart: 01/01/2024–30/04/2025 (486 ngày liên tục)</t>
        </is>
      </c>
    </row>
    <row r="3">
      <c r="A3" s="2" t="inlineStr">
        <is>
          <t>Ngay</t>
        </is>
      </c>
      <c r="B3" s="2" t="inlineStr">
        <is>
          <t>Doanh thu</t>
        </is>
      </c>
    </row>
    <row r="4">
      <c r="A4" s="3" t="n">
        <v>45292</v>
      </c>
      <c r="B4" s="4" t="n">
        <v>6334500</v>
      </c>
    </row>
    <row r="5">
      <c r="A5" s="3" t="n">
        <v>45293</v>
      </c>
      <c r="B5" s="4" t="n">
        <v>8021000</v>
      </c>
    </row>
    <row r="6">
      <c r="A6" s="3" t="n">
        <v>45294</v>
      </c>
      <c r="B6" s="4" t="n">
        <v>6595000</v>
      </c>
    </row>
    <row r="7">
      <c r="A7" s="3" t="n">
        <v>45295</v>
      </c>
      <c r="B7" s="4" t="n">
        <v>7842000</v>
      </c>
    </row>
    <row r="8">
      <c r="A8" s="3" t="n">
        <v>45296</v>
      </c>
      <c r="B8" s="4" t="n">
        <v>6053500</v>
      </c>
    </row>
    <row r="9">
      <c r="A9" s="3" t="n">
        <v>45297</v>
      </c>
      <c r="B9" s="4" t="n">
        <v>7976500</v>
      </c>
    </row>
    <row r="10">
      <c r="A10" s="3" t="n">
        <v>45298</v>
      </c>
      <c r="B10" s="4" t="n">
        <v>9728000</v>
      </c>
    </row>
    <row r="11">
      <c r="A11" s="3" t="n">
        <v>45299</v>
      </c>
      <c r="B11" s="4" t="n">
        <v>6034000</v>
      </c>
    </row>
    <row r="12">
      <c r="A12" s="3" t="n">
        <v>45300</v>
      </c>
      <c r="B12" s="4" t="n">
        <v>3603000</v>
      </c>
    </row>
    <row r="13">
      <c r="A13" s="3" t="n">
        <v>45301</v>
      </c>
      <c r="B13" s="4" t="n">
        <v>5457000</v>
      </c>
    </row>
    <row r="14">
      <c r="A14" s="3" t="n">
        <v>45302</v>
      </c>
      <c r="B14" s="4" t="n">
        <v>6489000</v>
      </c>
    </row>
    <row r="15">
      <c r="A15" s="3" t="n">
        <v>45303</v>
      </c>
      <c r="B15" s="4" t="n">
        <v>11914500</v>
      </c>
    </row>
    <row r="16">
      <c r="A16" s="3" t="n">
        <v>45304</v>
      </c>
      <c r="B16" s="4" t="n">
        <v>14922500</v>
      </c>
    </row>
    <row r="17">
      <c r="A17" s="3" t="n">
        <v>45305</v>
      </c>
      <c r="B17" s="4" t="n">
        <v>7643500</v>
      </c>
    </row>
    <row r="18">
      <c r="A18" s="3" t="n">
        <v>45306</v>
      </c>
      <c r="B18" s="4" t="n">
        <v>10323000</v>
      </c>
    </row>
    <row r="19">
      <c r="A19" s="3" t="n">
        <v>45307</v>
      </c>
      <c r="B19" s="4" t="n">
        <v>9444000</v>
      </c>
    </row>
    <row r="20">
      <c r="A20" s="3" t="n">
        <v>45308</v>
      </c>
      <c r="B20" s="4" t="n">
        <v>6004500</v>
      </c>
    </row>
    <row r="21">
      <c r="A21" s="3" t="n">
        <v>45309</v>
      </c>
      <c r="B21" s="4" t="n">
        <v>6641000</v>
      </c>
    </row>
    <row r="22">
      <c r="A22" s="3" t="n">
        <v>45310</v>
      </c>
      <c r="B22" s="4" t="n">
        <v>6721000</v>
      </c>
    </row>
    <row r="23">
      <c r="A23" s="3" t="n">
        <v>45311</v>
      </c>
      <c r="B23" s="4" t="n">
        <v>11448500</v>
      </c>
    </row>
    <row r="24">
      <c r="A24" s="3" t="n">
        <v>45312</v>
      </c>
      <c r="B24" s="4" t="n">
        <v>13906500</v>
      </c>
    </row>
    <row r="25">
      <c r="A25" s="3" t="n">
        <v>45313</v>
      </c>
      <c r="B25" s="4" t="n">
        <v>8451500</v>
      </c>
    </row>
    <row r="26">
      <c r="A26" s="3" t="n">
        <v>45314</v>
      </c>
      <c r="B26" s="4" t="n">
        <v>10254000</v>
      </c>
    </row>
    <row r="27">
      <c r="A27" s="3" t="n">
        <v>45315</v>
      </c>
      <c r="B27" s="4" t="n">
        <v>10253000</v>
      </c>
    </row>
    <row r="28">
      <c r="A28" s="3" t="n">
        <v>45316</v>
      </c>
      <c r="B28" s="4" t="n">
        <v>14686000</v>
      </c>
    </row>
    <row r="29">
      <c r="A29" s="3" t="n">
        <v>45317</v>
      </c>
      <c r="B29" s="4" t="n">
        <v>12547000</v>
      </c>
    </row>
    <row r="30">
      <c r="A30" s="3" t="n">
        <v>45318</v>
      </c>
      <c r="B30" s="4" t="n">
        <v>13271500</v>
      </c>
    </row>
    <row r="31">
      <c r="A31" s="3" t="n">
        <v>45319</v>
      </c>
      <c r="B31" s="4" t="n">
        <v>19090000</v>
      </c>
    </row>
    <row r="32">
      <c r="A32" s="3" t="n">
        <v>45320</v>
      </c>
      <c r="B32" s="4" t="n">
        <v>11580500</v>
      </c>
    </row>
    <row r="33">
      <c r="A33" s="3" t="n">
        <v>45321</v>
      </c>
      <c r="B33" s="4" t="n">
        <v>9559500</v>
      </c>
    </row>
    <row r="34">
      <c r="A34" s="3" t="n">
        <v>45322</v>
      </c>
      <c r="B34" s="4" t="n">
        <v>15407500</v>
      </c>
    </row>
    <row r="35">
      <c r="A35" s="3" t="n">
        <v>45323</v>
      </c>
      <c r="B35" s="4" t="n">
        <v>14221000</v>
      </c>
    </row>
    <row r="36">
      <c r="A36" s="3" t="n">
        <v>45324</v>
      </c>
      <c r="B36" s="4" t="n">
        <v>9672000</v>
      </c>
    </row>
    <row r="37">
      <c r="A37" s="3" t="n">
        <v>45325</v>
      </c>
      <c r="B37" s="4" t="n">
        <v>11685500</v>
      </c>
    </row>
    <row r="38">
      <c r="A38" s="3" t="n">
        <v>45326</v>
      </c>
      <c r="B38" s="4" t="n">
        <v>11974500</v>
      </c>
    </row>
    <row r="39">
      <c r="A39" s="3" t="n">
        <v>45327</v>
      </c>
      <c r="B39" s="4" t="n">
        <v>10595000</v>
      </c>
    </row>
    <row r="40">
      <c r="A40" s="3" t="n">
        <v>45328</v>
      </c>
      <c r="B40" s="4" t="n">
        <v>11847000</v>
      </c>
    </row>
    <row r="41">
      <c r="A41" s="3" t="n">
        <v>45329</v>
      </c>
      <c r="B41" s="4" t="n">
        <v>14417500</v>
      </c>
    </row>
    <row r="42">
      <c r="A42" s="3" t="n">
        <v>45330</v>
      </c>
      <c r="B42" s="4" t="n">
        <v>10991500</v>
      </c>
    </row>
    <row r="43">
      <c r="A43" s="3" t="n">
        <v>45331</v>
      </c>
      <c r="B43" s="4" t="n">
        <v>12347000</v>
      </c>
    </row>
    <row r="44">
      <c r="A44" s="3" t="n">
        <v>45332</v>
      </c>
      <c r="B44" s="4" t="n">
        <v>975500</v>
      </c>
    </row>
    <row r="45">
      <c r="A45" s="3" t="n">
        <v>45333</v>
      </c>
      <c r="B45" s="4" t="n">
        <v>5171000</v>
      </c>
    </row>
    <row r="46">
      <c r="A46" s="3" t="n">
        <v>45334</v>
      </c>
      <c r="B46" s="4" t="n">
        <v>986500</v>
      </c>
    </row>
    <row r="47">
      <c r="A47" s="3" t="n">
        <v>45335</v>
      </c>
      <c r="B47" s="4" t="n">
        <v>1947500</v>
      </c>
    </row>
    <row r="48">
      <c r="A48" s="3" t="n">
        <v>45336</v>
      </c>
      <c r="B48" s="4" t="n">
        <v>1930500</v>
      </c>
    </row>
    <row r="49">
      <c r="A49" s="3" t="n">
        <v>45337</v>
      </c>
      <c r="B49" s="4" t="n">
        <v>7810000</v>
      </c>
    </row>
    <row r="50">
      <c r="A50" s="3" t="n">
        <v>45338</v>
      </c>
      <c r="B50" s="4" t="n">
        <v>8823500</v>
      </c>
    </row>
    <row r="51">
      <c r="A51" s="3" t="n">
        <v>45339</v>
      </c>
      <c r="B51" s="4" t="n">
        <v>12797000</v>
      </c>
    </row>
    <row r="52">
      <c r="A52" s="3" t="n">
        <v>45340</v>
      </c>
      <c r="B52" s="4" t="n">
        <v>11544000</v>
      </c>
    </row>
    <row r="53">
      <c r="A53" s="3" t="n">
        <v>45341</v>
      </c>
      <c r="B53" s="4" t="n">
        <v>8149500</v>
      </c>
    </row>
    <row r="54">
      <c r="A54" s="3" t="n">
        <v>45342</v>
      </c>
      <c r="B54" s="4" t="n">
        <v>3807000</v>
      </c>
    </row>
    <row r="55">
      <c r="A55" s="3" t="n">
        <v>45343</v>
      </c>
      <c r="B55" s="4" t="n">
        <v>5650000</v>
      </c>
    </row>
    <row r="56">
      <c r="A56" s="3" t="n">
        <v>45344</v>
      </c>
      <c r="B56" s="4" t="n">
        <v>8534000</v>
      </c>
    </row>
    <row r="57">
      <c r="A57" s="3" t="n">
        <v>45345</v>
      </c>
      <c r="B57" s="4" t="n">
        <v>9575000</v>
      </c>
    </row>
    <row r="58">
      <c r="A58" s="3" t="n">
        <v>45346</v>
      </c>
      <c r="B58" s="4" t="n">
        <v>12310000</v>
      </c>
    </row>
    <row r="59">
      <c r="A59" s="3" t="n">
        <v>45347</v>
      </c>
      <c r="B59" s="4" t="n">
        <v>10652000</v>
      </c>
    </row>
    <row r="60">
      <c r="A60" s="3" t="n">
        <v>45348</v>
      </c>
      <c r="B60" s="4" t="n">
        <v>4163500</v>
      </c>
    </row>
    <row r="61">
      <c r="A61" s="3" t="n">
        <v>45349</v>
      </c>
      <c r="B61" s="4" t="n">
        <v>5716000</v>
      </c>
    </row>
    <row r="62">
      <c r="A62" s="3" t="n">
        <v>45350</v>
      </c>
      <c r="B62" s="4" t="n">
        <v>7426000</v>
      </c>
    </row>
    <row r="63">
      <c r="A63" s="3" t="n">
        <v>45351</v>
      </c>
      <c r="B63" s="4" t="n">
        <v>12584500</v>
      </c>
    </row>
    <row r="64">
      <c r="A64" s="3" t="n">
        <v>45352</v>
      </c>
      <c r="B64" s="4" t="n">
        <v>7718500</v>
      </c>
    </row>
    <row r="65">
      <c r="A65" s="3" t="n">
        <v>45353</v>
      </c>
      <c r="B65" s="4" t="n">
        <v>8918000</v>
      </c>
    </row>
    <row r="66">
      <c r="A66" s="3" t="n">
        <v>45354</v>
      </c>
      <c r="B66" s="4" t="n">
        <v>10425000</v>
      </c>
    </row>
    <row r="67">
      <c r="A67" s="3" t="n">
        <v>45355</v>
      </c>
      <c r="B67" s="4" t="n">
        <v>9144000</v>
      </c>
    </row>
    <row r="68">
      <c r="A68" s="3" t="n">
        <v>45356</v>
      </c>
      <c r="B68" s="4" t="n">
        <v>4960000</v>
      </c>
    </row>
    <row r="69">
      <c r="A69" s="3" t="n">
        <v>45357</v>
      </c>
      <c r="B69" s="4" t="n">
        <v>11476500</v>
      </c>
    </row>
    <row r="70">
      <c r="A70" s="3" t="n">
        <v>45358</v>
      </c>
      <c r="B70" s="4" t="n">
        <v>8332000</v>
      </c>
    </row>
    <row r="71">
      <c r="A71" s="3" t="n">
        <v>45359</v>
      </c>
      <c r="B71" s="4" t="n">
        <v>9348000</v>
      </c>
    </row>
    <row r="72">
      <c r="A72" s="3" t="n">
        <v>45360</v>
      </c>
      <c r="B72" s="4" t="n">
        <v>7654500</v>
      </c>
    </row>
    <row r="73">
      <c r="A73" s="3" t="n">
        <v>45361</v>
      </c>
      <c r="B73" s="4" t="n">
        <v>13995000</v>
      </c>
    </row>
    <row r="74">
      <c r="A74" s="3" t="n">
        <v>45362</v>
      </c>
      <c r="B74" s="4" t="n">
        <v>6299500</v>
      </c>
    </row>
    <row r="75">
      <c r="A75" s="3" t="n">
        <v>45363</v>
      </c>
      <c r="B75" s="4" t="n">
        <v>8095500</v>
      </c>
    </row>
    <row r="76">
      <c r="A76" s="3" t="n">
        <v>45364</v>
      </c>
      <c r="B76" s="4" t="n">
        <v>6803500</v>
      </c>
    </row>
    <row r="77">
      <c r="A77" s="3" t="n">
        <v>45365</v>
      </c>
      <c r="B77" s="4" t="n">
        <v>4509500</v>
      </c>
    </row>
    <row r="78">
      <c r="A78" s="3" t="n">
        <v>45366</v>
      </c>
      <c r="B78" s="4" t="n">
        <v>6384500</v>
      </c>
    </row>
    <row r="79">
      <c r="A79" s="3" t="n">
        <v>45367</v>
      </c>
      <c r="B79" s="4" t="n">
        <v>6641500</v>
      </c>
    </row>
    <row r="80">
      <c r="A80" s="3" t="n">
        <v>45368</v>
      </c>
      <c r="B80" s="4" t="n">
        <v>8297000</v>
      </c>
    </row>
    <row r="81">
      <c r="A81" s="3" t="n">
        <v>45369</v>
      </c>
      <c r="B81" s="4" t="n">
        <v>2919000</v>
      </c>
    </row>
    <row r="82">
      <c r="A82" s="3" t="n">
        <v>45370</v>
      </c>
      <c r="B82" s="4" t="n">
        <v>5620000</v>
      </c>
    </row>
    <row r="83">
      <c r="A83" s="3" t="n">
        <v>45371</v>
      </c>
      <c r="B83" s="4" t="n">
        <v>6491000</v>
      </c>
    </row>
    <row r="84">
      <c r="A84" s="3" t="n">
        <v>45372</v>
      </c>
      <c r="B84" s="4" t="n">
        <v>8166500</v>
      </c>
    </row>
    <row r="85">
      <c r="A85" s="3" t="n">
        <v>45373</v>
      </c>
      <c r="B85" s="4" t="n">
        <v>3009500</v>
      </c>
    </row>
    <row r="86">
      <c r="A86" s="3" t="n">
        <v>45374</v>
      </c>
      <c r="B86" s="4" t="n">
        <v>10751500</v>
      </c>
    </row>
    <row r="87">
      <c r="A87" s="3" t="n">
        <v>45375</v>
      </c>
      <c r="B87" s="4" t="n">
        <v>7150500</v>
      </c>
    </row>
    <row r="88">
      <c r="A88" s="3" t="n">
        <v>45376</v>
      </c>
      <c r="B88" s="4" t="n">
        <v>8858500</v>
      </c>
    </row>
    <row r="89">
      <c r="A89" s="3" t="n">
        <v>45377</v>
      </c>
      <c r="B89" s="4" t="n">
        <v>5573000</v>
      </c>
    </row>
    <row r="90">
      <c r="A90" s="3" t="n">
        <v>45378</v>
      </c>
      <c r="B90" s="4" t="n">
        <v>8171000</v>
      </c>
    </row>
    <row r="91">
      <c r="A91" s="3" t="n">
        <v>45379</v>
      </c>
      <c r="B91" s="4" t="n">
        <v>8294500</v>
      </c>
    </row>
    <row r="92">
      <c r="A92" s="3" t="n">
        <v>45380</v>
      </c>
      <c r="B92" s="4" t="n">
        <v>7365500</v>
      </c>
    </row>
    <row r="93">
      <c r="A93" s="3" t="n">
        <v>45381</v>
      </c>
      <c r="B93" s="4" t="n">
        <v>5953000</v>
      </c>
    </row>
    <row r="94">
      <c r="A94" s="3" t="n">
        <v>45382</v>
      </c>
      <c r="B94" s="4" t="n">
        <v>9866000</v>
      </c>
    </row>
    <row r="95">
      <c r="A95" s="3" t="n">
        <v>45383</v>
      </c>
      <c r="B95" s="4" t="n">
        <v>3158000</v>
      </c>
    </row>
    <row r="96">
      <c r="A96" s="3" t="n">
        <v>45384</v>
      </c>
      <c r="B96" s="4" t="n">
        <v>9849500</v>
      </c>
    </row>
    <row r="97">
      <c r="A97" s="3" t="n">
        <v>45385</v>
      </c>
      <c r="B97" s="4" t="n">
        <v>7585000</v>
      </c>
    </row>
    <row r="98">
      <c r="A98" s="3" t="n">
        <v>45386</v>
      </c>
      <c r="B98" s="4" t="n">
        <v>7546500</v>
      </c>
    </row>
    <row r="99">
      <c r="A99" s="3" t="n">
        <v>45387</v>
      </c>
      <c r="B99" s="4" t="n">
        <v>7965000</v>
      </c>
    </row>
    <row r="100">
      <c r="A100" s="3" t="n">
        <v>45388</v>
      </c>
      <c r="B100" s="4" t="n">
        <v>6812500</v>
      </c>
    </row>
    <row r="101">
      <c r="A101" s="3" t="n">
        <v>45389</v>
      </c>
      <c r="B101" s="4" t="n">
        <v>11366000</v>
      </c>
    </row>
    <row r="102">
      <c r="A102" s="3" t="n">
        <v>45390</v>
      </c>
      <c r="B102" s="4" t="n">
        <v>10479500</v>
      </c>
    </row>
    <row r="103">
      <c r="A103" s="3" t="n">
        <v>45391</v>
      </c>
      <c r="B103" s="4" t="n">
        <v>7457500</v>
      </c>
    </row>
    <row r="104">
      <c r="A104" s="3" t="n">
        <v>45392</v>
      </c>
      <c r="B104" s="4" t="n">
        <v>9540500</v>
      </c>
    </row>
    <row r="105">
      <c r="A105" s="3" t="n">
        <v>45393</v>
      </c>
      <c r="B105" s="4" t="n">
        <v>5984000</v>
      </c>
    </row>
    <row r="106">
      <c r="A106" s="3" t="n">
        <v>45394</v>
      </c>
      <c r="B106" s="4" t="n">
        <v>10579000</v>
      </c>
    </row>
    <row r="107">
      <c r="A107" s="3" t="n">
        <v>45395</v>
      </c>
      <c r="B107" s="4" t="n">
        <v>8297500</v>
      </c>
    </row>
    <row r="108">
      <c r="A108" s="3" t="n">
        <v>45396</v>
      </c>
      <c r="B108" s="4" t="n">
        <v>9535500</v>
      </c>
    </row>
    <row r="109">
      <c r="A109" s="3" t="n">
        <v>45397</v>
      </c>
      <c r="B109" s="4" t="n">
        <v>7497000</v>
      </c>
    </row>
    <row r="110">
      <c r="A110" s="3" t="n">
        <v>45398</v>
      </c>
      <c r="B110" s="4" t="n">
        <v>7944500</v>
      </c>
    </row>
    <row r="111">
      <c r="A111" s="3" t="n">
        <v>45399</v>
      </c>
      <c r="B111" s="4" t="n">
        <v>5613500</v>
      </c>
    </row>
    <row r="112">
      <c r="A112" s="3" t="n">
        <v>45400</v>
      </c>
      <c r="B112" s="4" t="n">
        <v>7020000</v>
      </c>
    </row>
    <row r="113">
      <c r="A113" s="3" t="n">
        <v>45401</v>
      </c>
      <c r="B113" s="4" t="n">
        <v>5836500</v>
      </c>
    </row>
    <row r="114">
      <c r="A114" s="3" t="n">
        <v>45402</v>
      </c>
      <c r="B114" s="4" t="n">
        <v>8830500</v>
      </c>
    </row>
    <row r="115">
      <c r="A115" s="3" t="n">
        <v>45403</v>
      </c>
      <c r="B115" s="4" t="n">
        <v>7302500</v>
      </c>
    </row>
    <row r="116">
      <c r="A116" s="3" t="n">
        <v>45404</v>
      </c>
      <c r="B116" s="4" t="n">
        <v>5489500</v>
      </c>
    </row>
    <row r="117">
      <c r="A117" s="3" t="n">
        <v>45405</v>
      </c>
      <c r="B117" s="4" t="n">
        <v>6755500</v>
      </c>
    </row>
    <row r="118">
      <c r="A118" s="3" t="n">
        <v>45406</v>
      </c>
      <c r="B118" s="4" t="n">
        <v>6326500</v>
      </c>
    </row>
    <row r="119">
      <c r="A119" s="3" t="n">
        <v>45407</v>
      </c>
      <c r="B119" s="4" t="n">
        <v>10445000</v>
      </c>
    </row>
    <row r="120">
      <c r="A120" s="3" t="n">
        <v>45408</v>
      </c>
      <c r="B120" s="4" t="n">
        <v>10166000</v>
      </c>
    </row>
    <row r="121">
      <c r="A121" s="3" t="n">
        <v>45409</v>
      </c>
      <c r="B121" s="4" t="n">
        <v>8666000</v>
      </c>
    </row>
    <row r="122">
      <c r="A122" s="3" t="n">
        <v>45410</v>
      </c>
      <c r="B122" s="4" t="n">
        <v>5925500</v>
      </c>
    </row>
    <row r="123">
      <c r="A123" s="3" t="n">
        <v>45411</v>
      </c>
      <c r="B123" s="4" t="n">
        <v>11933000</v>
      </c>
    </row>
    <row r="124">
      <c r="A124" s="3" t="n">
        <v>45412</v>
      </c>
      <c r="B124" s="4" t="n">
        <v>7558500</v>
      </c>
    </row>
    <row r="125">
      <c r="A125" s="3" t="n">
        <v>45413</v>
      </c>
      <c r="B125" s="4" t="n">
        <v>9364000</v>
      </c>
    </row>
    <row r="126">
      <c r="A126" s="3" t="n">
        <v>45414</v>
      </c>
      <c r="B126" s="4" t="n">
        <v>2385000</v>
      </c>
    </row>
    <row r="127">
      <c r="A127" s="3" t="n">
        <v>45415</v>
      </c>
      <c r="B127" s="4" t="n">
        <v>7267000</v>
      </c>
    </row>
    <row r="128">
      <c r="A128" s="3" t="n">
        <v>45416</v>
      </c>
      <c r="B128" s="4" t="n">
        <v>7611000</v>
      </c>
    </row>
    <row r="129">
      <c r="A129" s="3" t="n">
        <v>45417</v>
      </c>
      <c r="B129" s="4" t="n">
        <v>10729000</v>
      </c>
    </row>
    <row r="130">
      <c r="A130" s="3" t="n">
        <v>45418</v>
      </c>
      <c r="B130" s="4" t="n">
        <v>5583500</v>
      </c>
    </row>
    <row r="131">
      <c r="A131" s="3" t="n">
        <v>45419</v>
      </c>
      <c r="B131" s="4" t="n">
        <v>9875000</v>
      </c>
    </row>
    <row r="132">
      <c r="A132" s="3" t="n">
        <v>45420</v>
      </c>
      <c r="B132" s="4" t="n">
        <v>9847000</v>
      </c>
    </row>
    <row r="133">
      <c r="A133" s="3" t="n">
        <v>45421</v>
      </c>
      <c r="B133" s="4" t="n">
        <v>8808500</v>
      </c>
    </row>
    <row r="134">
      <c r="A134" s="3" t="n">
        <v>45422</v>
      </c>
      <c r="B134" s="4" t="n">
        <v>6451000</v>
      </c>
    </row>
    <row r="135">
      <c r="A135" s="3" t="n">
        <v>45423</v>
      </c>
      <c r="B135" s="4" t="n">
        <v>9125000</v>
      </c>
    </row>
    <row r="136">
      <c r="A136" s="3" t="n">
        <v>45424</v>
      </c>
      <c r="B136" s="4" t="n">
        <v>7153500</v>
      </c>
    </row>
    <row r="137">
      <c r="A137" s="3" t="n">
        <v>45425</v>
      </c>
      <c r="B137" s="4" t="n">
        <v>9823500</v>
      </c>
    </row>
    <row r="138">
      <c r="A138" s="3" t="n">
        <v>45426</v>
      </c>
      <c r="B138" s="4" t="n">
        <v>7718000</v>
      </c>
    </row>
    <row r="139">
      <c r="A139" s="3" t="n">
        <v>45427</v>
      </c>
      <c r="B139" s="4" t="n">
        <v>7994000</v>
      </c>
    </row>
    <row r="140">
      <c r="A140" s="3" t="n">
        <v>45428</v>
      </c>
      <c r="B140" s="4" t="n">
        <v>9435500</v>
      </c>
    </row>
    <row r="141">
      <c r="A141" s="3" t="n">
        <v>45429</v>
      </c>
      <c r="B141" s="4" t="n">
        <v>6846000</v>
      </c>
    </row>
    <row r="142">
      <c r="A142" s="3" t="n">
        <v>45430</v>
      </c>
      <c r="B142" s="4" t="n">
        <v>8877500</v>
      </c>
    </row>
    <row r="143">
      <c r="A143" s="3" t="n">
        <v>45431</v>
      </c>
      <c r="B143" s="4" t="n">
        <v>8564500</v>
      </c>
    </row>
    <row r="144">
      <c r="A144" s="3" t="n">
        <v>45432</v>
      </c>
      <c r="B144" s="4" t="n">
        <v>6859000</v>
      </c>
    </row>
    <row r="145">
      <c r="A145" s="3" t="n">
        <v>45433</v>
      </c>
      <c r="B145" s="4" t="n">
        <v>8344000</v>
      </c>
    </row>
    <row r="146">
      <c r="A146" s="3" t="n">
        <v>45434</v>
      </c>
      <c r="B146" s="4" t="n">
        <v>7551500</v>
      </c>
    </row>
    <row r="147">
      <c r="A147" s="3" t="n">
        <v>45435</v>
      </c>
      <c r="B147" s="4" t="n">
        <v>9459500</v>
      </c>
    </row>
    <row r="148">
      <c r="A148" s="3" t="n">
        <v>45436</v>
      </c>
      <c r="B148" s="4" t="n">
        <v>5934000</v>
      </c>
    </row>
    <row r="149">
      <c r="A149" s="3" t="n">
        <v>45437</v>
      </c>
      <c r="B149" s="4" t="n">
        <v>7480500</v>
      </c>
    </row>
    <row r="150">
      <c r="A150" s="3" t="n">
        <v>45438</v>
      </c>
      <c r="B150" s="4" t="n">
        <v>10825500</v>
      </c>
    </row>
    <row r="151">
      <c r="A151" s="3" t="n">
        <v>45439</v>
      </c>
      <c r="B151" s="4" t="n">
        <v>7351500</v>
      </c>
    </row>
    <row r="152">
      <c r="A152" s="3" t="n">
        <v>45440</v>
      </c>
      <c r="B152" s="4" t="n">
        <v>4601500</v>
      </c>
    </row>
    <row r="153">
      <c r="A153" s="3" t="n">
        <v>45441</v>
      </c>
      <c r="B153" s="4" t="n">
        <v>5087500</v>
      </c>
    </row>
    <row r="154">
      <c r="A154" s="3" t="n">
        <v>45442</v>
      </c>
      <c r="B154" s="4" t="n">
        <v>8814500</v>
      </c>
    </row>
    <row r="155">
      <c r="A155" s="3" t="n">
        <v>45443</v>
      </c>
      <c r="B155" s="4" t="n">
        <v>4042500</v>
      </c>
    </row>
    <row r="156">
      <c r="A156" s="3" t="n">
        <v>45444</v>
      </c>
      <c r="B156" s="4" t="n">
        <v>7271000</v>
      </c>
    </row>
    <row r="157">
      <c r="A157" s="3" t="n">
        <v>45445</v>
      </c>
      <c r="B157" s="4" t="n">
        <v>7821000</v>
      </c>
    </row>
    <row r="158">
      <c r="A158" s="3" t="n">
        <v>45446</v>
      </c>
      <c r="B158" s="4" t="n">
        <v>5530000</v>
      </c>
    </row>
    <row r="159">
      <c r="A159" s="3" t="n">
        <v>45447</v>
      </c>
      <c r="B159" s="4" t="n">
        <v>8741000</v>
      </c>
    </row>
    <row r="160">
      <c r="A160" s="3" t="n">
        <v>45448</v>
      </c>
      <c r="B160" s="4" t="n">
        <v>7048000</v>
      </c>
    </row>
    <row r="161">
      <c r="A161" s="3" t="n">
        <v>45449</v>
      </c>
      <c r="B161" s="4" t="n">
        <v>6873500</v>
      </c>
    </row>
    <row r="162">
      <c r="A162" s="3" t="n">
        <v>45450</v>
      </c>
      <c r="B162" s="4" t="n">
        <v>10792000</v>
      </c>
    </row>
    <row r="163">
      <c r="A163" s="3" t="n">
        <v>45451</v>
      </c>
      <c r="B163" s="4" t="n">
        <v>9119000</v>
      </c>
    </row>
    <row r="164">
      <c r="A164" s="3" t="n">
        <v>45452</v>
      </c>
      <c r="B164" s="4" t="n">
        <v>6802500</v>
      </c>
    </row>
    <row r="165">
      <c r="A165" s="3" t="n">
        <v>45453</v>
      </c>
      <c r="B165" s="4" t="n">
        <v>7515500</v>
      </c>
    </row>
    <row r="166">
      <c r="A166" s="3" t="n">
        <v>45454</v>
      </c>
      <c r="B166" s="4" t="n">
        <v>8801000</v>
      </c>
    </row>
    <row r="167">
      <c r="A167" s="3" t="n">
        <v>45455</v>
      </c>
      <c r="B167" s="4" t="n">
        <v>12045000</v>
      </c>
    </row>
    <row r="168">
      <c r="A168" s="3" t="n">
        <v>45456</v>
      </c>
      <c r="B168" s="4" t="n">
        <v>10141500</v>
      </c>
    </row>
    <row r="169">
      <c r="A169" s="3" t="n">
        <v>45457</v>
      </c>
      <c r="B169" s="4" t="n">
        <v>5880000</v>
      </c>
    </row>
    <row r="170">
      <c r="A170" s="3" t="n">
        <v>45458</v>
      </c>
      <c r="B170" s="4" t="n">
        <v>10104500</v>
      </c>
    </row>
    <row r="171">
      <c r="A171" s="3" t="n">
        <v>45459</v>
      </c>
      <c r="B171" s="4" t="n">
        <v>11197500</v>
      </c>
    </row>
    <row r="172">
      <c r="A172" s="3" t="n">
        <v>45460</v>
      </c>
      <c r="B172" s="4" t="n">
        <v>8401000</v>
      </c>
    </row>
    <row r="173">
      <c r="A173" s="3" t="n">
        <v>45461</v>
      </c>
      <c r="B173" s="4" t="n">
        <v>7719000</v>
      </c>
    </row>
    <row r="174">
      <c r="A174" s="3" t="n">
        <v>45462</v>
      </c>
      <c r="B174" s="4" t="n">
        <v>9277500</v>
      </c>
    </row>
    <row r="175">
      <c r="A175" s="3" t="n">
        <v>45463</v>
      </c>
      <c r="B175" s="4" t="n">
        <v>7464000</v>
      </c>
    </row>
    <row r="176">
      <c r="A176" s="3" t="n">
        <v>45464</v>
      </c>
      <c r="B176" s="4" t="n">
        <v>6678500</v>
      </c>
    </row>
    <row r="177">
      <c r="A177" s="3" t="n">
        <v>45465</v>
      </c>
      <c r="B177" s="4" t="n">
        <v>6829000</v>
      </c>
    </row>
    <row r="178">
      <c r="A178" s="3" t="n">
        <v>45466</v>
      </c>
      <c r="B178" s="4" t="n">
        <v>9218500</v>
      </c>
    </row>
    <row r="179">
      <c r="A179" s="3" t="n">
        <v>45467</v>
      </c>
      <c r="B179" s="4" t="n">
        <v>7215000</v>
      </c>
    </row>
    <row r="180">
      <c r="A180" s="3" t="n">
        <v>45468</v>
      </c>
      <c r="B180" s="4" t="n">
        <v>10727000</v>
      </c>
    </row>
    <row r="181">
      <c r="A181" s="3" t="n">
        <v>45469</v>
      </c>
      <c r="B181" s="4" t="n">
        <v>7867000</v>
      </c>
    </row>
    <row r="182">
      <c r="A182" s="3" t="n">
        <v>45470</v>
      </c>
      <c r="B182" s="4" t="n">
        <v>8242500</v>
      </c>
    </row>
    <row r="183">
      <c r="A183" s="3" t="n">
        <v>45471</v>
      </c>
      <c r="B183" s="4" t="n">
        <v>7383500</v>
      </c>
    </row>
    <row r="184">
      <c r="A184" s="3" t="n">
        <v>45472</v>
      </c>
      <c r="B184" s="4" t="n">
        <v>7446500</v>
      </c>
    </row>
    <row r="185">
      <c r="A185" s="3" t="n">
        <v>45473</v>
      </c>
      <c r="B185" s="4" t="n">
        <v>9628000</v>
      </c>
    </row>
    <row r="186">
      <c r="A186" s="3" t="n">
        <v>45474</v>
      </c>
      <c r="B186" s="4" t="n">
        <v>4530500</v>
      </c>
    </row>
    <row r="187">
      <c r="A187" s="3" t="n">
        <v>45475</v>
      </c>
      <c r="B187" s="4" t="n">
        <v>5839500</v>
      </c>
    </row>
    <row r="188">
      <c r="A188" s="3" t="n">
        <v>45476</v>
      </c>
      <c r="B188" s="4" t="n">
        <v>6809000</v>
      </c>
    </row>
    <row r="189">
      <c r="A189" s="3" t="n">
        <v>45477</v>
      </c>
      <c r="B189" s="4" t="n">
        <v>7654500</v>
      </c>
    </row>
    <row r="190">
      <c r="A190" s="3" t="n">
        <v>45478</v>
      </c>
      <c r="B190" s="4" t="n">
        <v>3685000</v>
      </c>
    </row>
    <row r="191">
      <c r="A191" s="3" t="n">
        <v>45479</v>
      </c>
      <c r="B191" s="4" t="n">
        <v>6639000</v>
      </c>
    </row>
    <row r="192">
      <c r="A192" s="3" t="n">
        <v>45480</v>
      </c>
      <c r="B192" s="4" t="n">
        <v>14691000</v>
      </c>
    </row>
    <row r="193">
      <c r="A193" s="3" t="n">
        <v>45481</v>
      </c>
      <c r="B193" s="4" t="n">
        <v>9811500</v>
      </c>
    </row>
    <row r="194">
      <c r="A194" s="3" t="n">
        <v>45482</v>
      </c>
      <c r="B194" s="4" t="n">
        <v>11980500</v>
      </c>
    </row>
    <row r="195">
      <c r="A195" s="3" t="n">
        <v>45483</v>
      </c>
      <c r="B195" s="4" t="n">
        <v>10858000</v>
      </c>
    </row>
    <row r="196">
      <c r="A196" s="3" t="n">
        <v>45484</v>
      </c>
      <c r="B196" s="4" t="n">
        <v>6569000</v>
      </c>
    </row>
    <row r="197">
      <c r="A197" s="3" t="n">
        <v>45485</v>
      </c>
      <c r="B197" s="4" t="n">
        <v>4811000</v>
      </c>
    </row>
    <row r="198">
      <c r="A198" s="3" t="n">
        <v>45486</v>
      </c>
      <c r="B198" s="4" t="n">
        <v>10602500</v>
      </c>
    </row>
    <row r="199">
      <c r="A199" s="3" t="n">
        <v>45487</v>
      </c>
      <c r="B199" s="4" t="n">
        <v>9437000</v>
      </c>
    </row>
    <row r="200">
      <c r="A200" s="3" t="n">
        <v>45488</v>
      </c>
      <c r="B200" s="4" t="n">
        <v>3361000</v>
      </c>
    </row>
    <row r="201">
      <c r="A201" s="3" t="n">
        <v>45489</v>
      </c>
      <c r="B201" s="4" t="n">
        <v>8335000</v>
      </c>
    </row>
    <row r="202">
      <c r="A202" s="3" t="n">
        <v>45490</v>
      </c>
      <c r="B202" s="4" t="n">
        <v>4867000</v>
      </c>
    </row>
    <row r="203">
      <c r="A203" s="3" t="n">
        <v>45491</v>
      </c>
      <c r="B203" s="4" t="n">
        <v>5439500</v>
      </c>
    </row>
    <row r="204">
      <c r="A204" s="3" t="n">
        <v>45492</v>
      </c>
      <c r="B204" s="4" t="n">
        <v>11915500</v>
      </c>
    </row>
    <row r="205">
      <c r="A205" s="3" t="n">
        <v>45493</v>
      </c>
      <c r="B205" s="4" t="n">
        <v>8610500</v>
      </c>
    </row>
    <row r="206">
      <c r="A206" s="3" t="n">
        <v>45494</v>
      </c>
      <c r="B206" s="4" t="n">
        <v>6756500</v>
      </c>
    </row>
    <row r="207">
      <c r="A207" s="3" t="n">
        <v>45495</v>
      </c>
      <c r="B207" s="4" t="n">
        <v>5452500</v>
      </c>
    </row>
    <row r="208">
      <c r="A208" s="3" t="n">
        <v>45496</v>
      </c>
      <c r="B208" s="4" t="n">
        <v>8740000</v>
      </c>
    </row>
    <row r="209">
      <c r="A209" s="3" t="n">
        <v>45497</v>
      </c>
      <c r="B209" s="4" t="n">
        <v>8154500</v>
      </c>
    </row>
    <row r="210">
      <c r="A210" s="3" t="n">
        <v>45498</v>
      </c>
      <c r="B210" s="4" t="n">
        <v>9664000</v>
      </c>
    </row>
    <row r="211">
      <c r="A211" s="3" t="n">
        <v>45499</v>
      </c>
      <c r="B211" s="4" t="n">
        <v>10165000</v>
      </c>
    </row>
    <row r="212">
      <c r="A212" s="3" t="n">
        <v>45500</v>
      </c>
      <c r="B212" s="4" t="n">
        <v>10506000</v>
      </c>
    </row>
    <row r="213">
      <c r="A213" s="3" t="n">
        <v>45501</v>
      </c>
      <c r="B213" s="4" t="n">
        <v>12053000</v>
      </c>
    </row>
    <row r="214">
      <c r="A214" s="3" t="n">
        <v>45502</v>
      </c>
      <c r="B214" s="4" t="n">
        <v>8354000</v>
      </c>
    </row>
    <row r="215">
      <c r="A215" s="3" t="n">
        <v>45503</v>
      </c>
      <c r="B215" s="4" t="n">
        <v>11249500</v>
      </c>
    </row>
    <row r="216">
      <c r="A216" s="3" t="n">
        <v>45504</v>
      </c>
      <c r="B216" s="4" t="n">
        <v>3058500</v>
      </c>
    </row>
    <row r="217">
      <c r="A217" s="3" t="n">
        <v>45505</v>
      </c>
      <c r="B217" s="4" t="n">
        <v>10818500</v>
      </c>
    </row>
    <row r="218">
      <c r="A218" s="3" t="n">
        <v>45506</v>
      </c>
      <c r="B218" s="4" t="n">
        <v>9912500</v>
      </c>
    </row>
    <row r="219">
      <c r="A219" s="3" t="n">
        <v>45507</v>
      </c>
      <c r="B219" s="4" t="n">
        <v>11570500</v>
      </c>
    </row>
    <row r="220">
      <c r="A220" s="3" t="n">
        <v>45508</v>
      </c>
      <c r="B220" s="4" t="n">
        <v>12292500</v>
      </c>
    </row>
    <row r="221">
      <c r="A221" s="3" t="n">
        <v>45509</v>
      </c>
      <c r="B221" s="4" t="n">
        <v>6801000</v>
      </c>
    </row>
    <row r="222">
      <c r="A222" s="3" t="n">
        <v>45510</v>
      </c>
      <c r="B222" s="4" t="n">
        <v>4625500</v>
      </c>
    </row>
    <row r="223">
      <c r="A223" s="3" t="n">
        <v>45511</v>
      </c>
      <c r="B223" s="4" t="n">
        <v>6517000</v>
      </c>
    </row>
    <row r="224">
      <c r="A224" s="3" t="n">
        <v>45512</v>
      </c>
      <c r="B224" s="4" t="n">
        <v>10414000</v>
      </c>
    </row>
    <row r="225">
      <c r="A225" s="3" t="n">
        <v>45513</v>
      </c>
      <c r="B225" s="4" t="n">
        <v>10179000</v>
      </c>
    </row>
    <row r="226">
      <c r="A226" s="3" t="n">
        <v>45514</v>
      </c>
      <c r="B226" s="4" t="n">
        <v>12958500</v>
      </c>
    </row>
    <row r="227">
      <c r="A227" s="3" t="n">
        <v>45515</v>
      </c>
      <c r="B227" s="4" t="n">
        <v>7973000</v>
      </c>
    </row>
    <row r="228">
      <c r="A228" s="3" t="n">
        <v>45516</v>
      </c>
      <c r="B228" s="4" t="n">
        <v>10348000</v>
      </c>
    </row>
    <row r="229">
      <c r="A229" s="3" t="n">
        <v>45517</v>
      </c>
      <c r="B229" s="4" t="n">
        <v>10953500</v>
      </c>
    </row>
    <row r="230">
      <c r="A230" s="3" t="n">
        <v>45518</v>
      </c>
      <c r="B230" s="4" t="n">
        <v>8734000</v>
      </c>
    </row>
    <row r="231">
      <c r="A231" s="3" t="n">
        <v>45519</v>
      </c>
      <c r="B231" s="4" t="n">
        <v>11319000</v>
      </c>
    </row>
    <row r="232">
      <c r="A232" s="3" t="n">
        <v>45520</v>
      </c>
      <c r="B232" s="4" t="n">
        <v>5194000</v>
      </c>
    </row>
    <row r="233">
      <c r="A233" s="3" t="n">
        <v>45521</v>
      </c>
      <c r="B233" s="4" t="n">
        <v>11149000</v>
      </c>
    </row>
    <row r="234">
      <c r="A234" s="3" t="n">
        <v>45522</v>
      </c>
      <c r="B234" s="4" t="n">
        <v>8139000</v>
      </c>
    </row>
    <row r="235">
      <c r="A235" s="3" t="n">
        <v>45523</v>
      </c>
      <c r="B235" s="4" t="n">
        <v>10461500</v>
      </c>
    </row>
    <row r="236">
      <c r="A236" s="3" t="n">
        <v>45524</v>
      </c>
      <c r="B236" s="4" t="n">
        <v>5776000</v>
      </c>
    </row>
    <row r="237">
      <c r="A237" s="3" t="n">
        <v>45525</v>
      </c>
      <c r="B237" s="4" t="n">
        <v>6966500</v>
      </c>
    </row>
    <row r="238">
      <c r="A238" s="3" t="n">
        <v>45526</v>
      </c>
      <c r="B238" s="4" t="n">
        <v>7828000</v>
      </c>
    </row>
    <row r="239">
      <c r="A239" s="3" t="n">
        <v>45527</v>
      </c>
      <c r="B239" s="4" t="n">
        <v>7777000</v>
      </c>
    </row>
    <row r="240">
      <c r="A240" s="3" t="n">
        <v>45528</v>
      </c>
      <c r="B240" s="4" t="n">
        <v>14371500</v>
      </c>
    </row>
    <row r="241">
      <c r="A241" s="3" t="n">
        <v>45529</v>
      </c>
      <c r="B241" s="4" t="n">
        <v>12953000</v>
      </c>
    </row>
    <row r="242">
      <c r="A242" s="3" t="n">
        <v>45530</v>
      </c>
      <c r="B242" s="4" t="n">
        <v>8283000</v>
      </c>
    </row>
    <row r="243">
      <c r="A243" s="3" t="n">
        <v>45531</v>
      </c>
      <c r="B243" s="4" t="n">
        <v>6806500</v>
      </c>
    </row>
    <row r="244">
      <c r="A244" s="3" t="n">
        <v>45532</v>
      </c>
      <c r="B244" s="4" t="n">
        <v>9130000</v>
      </c>
    </row>
    <row r="245">
      <c r="A245" s="3" t="n">
        <v>45533</v>
      </c>
      <c r="B245" s="4" t="n">
        <v>9131500</v>
      </c>
    </row>
    <row r="246">
      <c r="A246" s="3" t="n">
        <v>45534</v>
      </c>
      <c r="B246" s="4" t="n">
        <v>8241000</v>
      </c>
    </row>
    <row r="247">
      <c r="A247" s="3" t="n">
        <v>45535</v>
      </c>
      <c r="B247" s="4" t="n">
        <v>10961500</v>
      </c>
    </row>
    <row r="248">
      <c r="A248" s="3" t="n">
        <v>45536</v>
      </c>
      <c r="B248" s="4" t="n">
        <v>6018500</v>
      </c>
    </row>
    <row r="249">
      <c r="A249" s="3" t="n">
        <v>45537</v>
      </c>
      <c r="B249" s="4" t="n">
        <v>7216500</v>
      </c>
    </row>
    <row r="250">
      <c r="A250" s="3" t="n">
        <v>45538</v>
      </c>
      <c r="B250" s="4" t="n">
        <v>11788500</v>
      </c>
    </row>
    <row r="251">
      <c r="A251" s="3" t="n">
        <v>45539</v>
      </c>
      <c r="B251" s="4" t="n">
        <v>10439000</v>
      </c>
    </row>
    <row r="252">
      <c r="A252" s="3" t="n">
        <v>45540</v>
      </c>
      <c r="B252" s="4" t="n">
        <v>10220000</v>
      </c>
    </row>
    <row r="253">
      <c r="A253" s="3" t="n">
        <v>45541</v>
      </c>
      <c r="B253" s="4" t="n">
        <v>4684500</v>
      </c>
    </row>
    <row r="254">
      <c r="A254" s="3" t="n">
        <v>45542</v>
      </c>
      <c r="B254" s="4" t="n">
        <v>9790500</v>
      </c>
    </row>
    <row r="255">
      <c r="A255" s="3" t="n">
        <v>45543</v>
      </c>
      <c r="B255" s="4" t="n">
        <v>12477000</v>
      </c>
    </row>
    <row r="256">
      <c r="A256" s="3" t="n">
        <v>45544</v>
      </c>
      <c r="B256" s="4" t="n">
        <v>6937500</v>
      </c>
    </row>
    <row r="257">
      <c r="A257" s="3" t="n">
        <v>45545</v>
      </c>
      <c r="B257" s="4" t="n">
        <v>9116500</v>
      </c>
    </row>
    <row r="258">
      <c r="A258" s="3" t="n">
        <v>45546</v>
      </c>
      <c r="B258" s="4" t="n">
        <v>8714500</v>
      </c>
    </row>
    <row r="259">
      <c r="A259" s="3" t="n">
        <v>45547</v>
      </c>
      <c r="B259" s="4" t="n">
        <v>8513000</v>
      </c>
    </row>
    <row r="260">
      <c r="A260" s="3" t="n">
        <v>45548</v>
      </c>
      <c r="B260" s="4" t="n">
        <v>7590000</v>
      </c>
    </row>
    <row r="261">
      <c r="A261" s="3" t="n">
        <v>45549</v>
      </c>
      <c r="B261" s="4" t="n">
        <v>9695000</v>
      </c>
    </row>
    <row r="262">
      <c r="A262" s="3" t="n">
        <v>45550</v>
      </c>
      <c r="B262" s="4" t="n">
        <v>13869000</v>
      </c>
    </row>
    <row r="263">
      <c r="A263" s="3" t="n">
        <v>45551</v>
      </c>
      <c r="B263" s="4" t="n">
        <v>6263500</v>
      </c>
    </row>
    <row r="264">
      <c r="A264" s="3" t="n">
        <v>45552</v>
      </c>
      <c r="B264" s="4" t="n">
        <v>9311500</v>
      </c>
    </row>
    <row r="265">
      <c r="A265" s="3" t="n">
        <v>45553</v>
      </c>
      <c r="B265" s="4" t="n">
        <v>11359500</v>
      </c>
    </row>
    <row r="266">
      <c r="A266" s="3" t="n">
        <v>45554</v>
      </c>
      <c r="B266" s="4" t="n">
        <v>6635000</v>
      </c>
    </row>
    <row r="267">
      <c r="A267" s="3" t="n">
        <v>45555</v>
      </c>
      <c r="B267" s="4" t="n">
        <v>12465000</v>
      </c>
    </row>
    <row r="268">
      <c r="A268" s="3" t="n">
        <v>45556</v>
      </c>
      <c r="B268" s="4" t="n">
        <v>11412000</v>
      </c>
    </row>
    <row r="269">
      <c r="A269" s="3" t="n">
        <v>45557</v>
      </c>
      <c r="B269" s="4" t="n">
        <v>11006000</v>
      </c>
    </row>
    <row r="270">
      <c r="A270" s="3" t="n">
        <v>45558</v>
      </c>
      <c r="B270" s="4" t="n">
        <v>9757500</v>
      </c>
    </row>
    <row r="271">
      <c r="A271" s="3" t="n">
        <v>45559</v>
      </c>
      <c r="B271" s="4" t="n">
        <v>6233500</v>
      </c>
    </row>
    <row r="272">
      <c r="A272" s="3" t="n">
        <v>45560</v>
      </c>
      <c r="B272" s="4" t="n">
        <v>7731500</v>
      </c>
    </row>
    <row r="273">
      <c r="A273" s="3" t="n">
        <v>45561</v>
      </c>
      <c r="B273" s="4" t="n">
        <v>4318500</v>
      </c>
    </row>
    <row r="274">
      <c r="A274" s="3" t="n">
        <v>45562</v>
      </c>
      <c r="B274" s="4" t="n">
        <v>10313000</v>
      </c>
    </row>
    <row r="275">
      <c r="A275" s="3" t="n">
        <v>45563</v>
      </c>
      <c r="B275" s="4" t="n">
        <v>8940000</v>
      </c>
    </row>
    <row r="276">
      <c r="A276" s="3" t="n">
        <v>45564</v>
      </c>
      <c r="B276" s="4" t="n">
        <v>9364500</v>
      </c>
    </row>
    <row r="277">
      <c r="A277" s="3" t="n">
        <v>45565</v>
      </c>
      <c r="B277" s="4" t="n">
        <v>9218500</v>
      </c>
    </row>
    <row r="278">
      <c r="A278" s="3" t="n">
        <v>45566</v>
      </c>
      <c r="B278" s="4" t="n">
        <v>4644500</v>
      </c>
    </row>
    <row r="279">
      <c r="A279" s="3" t="n">
        <v>45567</v>
      </c>
      <c r="B279" s="4" t="n">
        <v>8803000</v>
      </c>
    </row>
    <row r="280">
      <c r="A280" s="3" t="n">
        <v>45568</v>
      </c>
      <c r="B280" s="4" t="n">
        <v>11195000</v>
      </c>
    </row>
    <row r="281">
      <c r="A281" s="3" t="n">
        <v>45569</v>
      </c>
      <c r="B281" s="4" t="n">
        <v>10151000</v>
      </c>
    </row>
    <row r="282">
      <c r="A282" s="3" t="n">
        <v>45570</v>
      </c>
      <c r="B282" s="4" t="n">
        <v>12653500</v>
      </c>
    </row>
    <row r="283">
      <c r="A283" s="3" t="n">
        <v>45571</v>
      </c>
      <c r="B283" s="4" t="n">
        <v>5618500</v>
      </c>
    </row>
    <row r="284">
      <c r="A284" s="3" t="n">
        <v>45572</v>
      </c>
      <c r="B284" s="4" t="n">
        <v>8410500</v>
      </c>
    </row>
    <row r="285">
      <c r="A285" s="3" t="n">
        <v>45573</v>
      </c>
      <c r="B285" s="4" t="n">
        <v>10059000</v>
      </c>
    </row>
    <row r="286">
      <c r="A286" s="3" t="n">
        <v>45574</v>
      </c>
      <c r="B286" s="4" t="n">
        <v>13385500</v>
      </c>
    </row>
    <row r="287">
      <c r="A287" s="3" t="n">
        <v>45575</v>
      </c>
      <c r="B287" s="4" t="n">
        <v>8328000</v>
      </c>
    </row>
    <row r="288">
      <c r="A288" s="3" t="n">
        <v>45576</v>
      </c>
      <c r="B288" s="4" t="n">
        <v>13308500</v>
      </c>
    </row>
    <row r="289">
      <c r="A289" s="3" t="n">
        <v>45577</v>
      </c>
      <c r="B289" s="4" t="n">
        <v>8183500</v>
      </c>
    </row>
    <row r="290">
      <c r="A290" s="3" t="n">
        <v>45578</v>
      </c>
      <c r="B290" s="4" t="n">
        <v>11923500</v>
      </c>
    </row>
    <row r="291">
      <c r="A291" s="3" t="n">
        <v>45579</v>
      </c>
      <c r="B291" s="4" t="n">
        <v>7748500</v>
      </c>
    </row>
    <row r="292">
      <c r="A292" s="3" t="n">
        <v>45580</v>
      </c>
      <c r="B292" s="4" t="n">
        <v>5597000</v>
      </c>
    </row>
    <row r="293">
      <c r="A293" s="3" t="n">
        <v>45581</v>
      </c>
      <c r="B293" s="4" t="n">
        <v>10506000</v>
      </c>
    </row>
    <row r="294">
      <c r="A294" s="3" t="n">
        <v>45582</v>
      </c>
      <c r="B294" s="4" t="n">
        <v>10947500</v>
      </c>
    </row>
    <row r="295">
      <c r="A295" s="3" t="n">
        <v>45583</v>
      </c>
      <c r="B295" s="4" t="n">
        <v>6849000</v>
      </c>
    </row>
    <row r="296">
      <c r="A296" s="3" t="n">
        <v>45584</v>
      </c>
      <c r="B296" s="4" t="n">
        <v>11878000</v>
      </c>
    </row>
    <row r="297">
      <c r="A297" s="3" t="n">
        <v>45585</v>
      </c>
      <c r="B297" s="4" t="n">
        <v>8352000</v>
      </c>
    </row>
    <row r="298">
      <c r="A298" s="3" t="n">
        <v>45586</v>
      </c>
      <c r="B298" s="4" t="n">
        <v>7788000</v>
      </c>
    </row>
    <row r="299">
      <c r="A299" s="3" t="n">
        <v>45587</v>
      </c>
      <c r="B299" s="4" t="n">
        <v>6571000</v>
      </c>
    </row>
    <row r="300">
      <c r="A300" s="3" t="n">
        <v>45588</v>
      </c>
      <c r="B300" s="4" t="n">
        <v>10822000</v>
      </c>
    </row>
    <row r="301">
      <c r="A301" s="3" t="n">
        <v>45589</v>
      </c>
      <c r="B301" s="4" t="n">
        <v>8919000</v>
      </c>
    </row>
    <row r="302">
      <c r="A302" s="3" t="n">
        <v>45590</v>
      </c>
      <c r="B302" s="4" t="n">
        <v>10795000</v>
      </c>
    </row>
    <row r="303">
      <c r="A303" s="3" t="n">
        <v>45591</v>
      </c>
      <c r="B303" s="4" t="n">
        <v>7897500</v>
      </c>
    </row>
    <row r="304">
      <c r="A304" s="3" t="n">
        <v>45592</v>
      </c>
      <c r="B304" s="4" t="n">
        <v>9246500</v>
      </c>
    </row>
    <row r="305">
      <c r="A305" s="3" t="n">
        <v>45593</v>
      </c>
      <c r="B305" s="4" t="n">
        <v>5754500</v>
      </c>
    </row>
    <row r="306">
      <c r="A306" s="3" t="n">
        <v>45594</v>
      </c>
      <c r="B306" s="4" t="n">
        <v>6053500</v>
      </c>
    </row>
    <row r="307">
      <c r="A307" s="3" t="n">
        <v>45595</v>
      </c>
      <c r="B307" s="4" t="n">
        <v>5142500</v>
      </c>
    </row>
    <row r="308">
      <c r="A308" s="3" t="n">
        <v>45596</v>
      </c>
      <c r="B308" s="4" t="n">
        <v>9175500</v>
      </c>
    </row>
    <row r="309">
      <c r="A309" s="3" t="n">
        <v>45597</v>
      </c>
      <c r="B309" s="4" t="n">
        <v>9136000</v>
      </c>
    </row>
    <row r="310">
      <c r="A310" s="3" t="n">
        <v>45598</v>
      </c>
      <c r="B310" s="4" t="n">
        <v>10004500</v>
      </c>
    </row>
    <row r="311">
      <c r="A311" s="3" t="n">
        <v>45599</v>
      </c>
      <c r="B311" s="4" t="n">
        <v>7840000</v>
      </c>
    </row>
    <row r="312">
      <c r="A312" s="3" t="n">
        <v>45600</v>
      </c>
      <c r="B312" s="4" t="n">
        <v>15912000</v>
      </c>
    </row>
    <row r="313">
      <c r="A313" s="3" t="n">
        <v>45601</v>
      </c>
      <c r="B313" s="4" t="n">
        <v>12778000</v>
      </c>
    </row>
    <row r="314">
      <c r="A314" s="3" t="n">
        <v>45602</v>
      </c>
      <c r="B314" s="4" t="n">
        <v>9790500</v>
      </c>
    </row>
    <row r="315">
      <c r="A315" s="3" t="n">
        <v>45603</v>
      </c>
      <c r="B315" s="4" t="n">
        <v>9047500</v>
      </c>
    </row>
    <row r="316">
      <c r="A316" s="3" t="n">
        <v>45604</v>
      </c>
      <c r="B316" s="4" t="n">
        <v>6258000</v>
      </c>
    </row>
    <row r="317">
      <c r="A317" s="3" t="n">
        <v>45605</v>
      </c>
      <c r="B317" s="4" t="n">
        <v>10957500</v>
      </c>
    </row>
    <row r="318">
      <c r="A318" s="3" t="n">
        <v>45606</v>
      </c>
      <c r="B318" s="4" t="n">
        <v>12842500</v>
      </c>
    </row>
    <row r="319">
      <c r="A319" s="3" t="n">
        <v>45607</v>
      </c>
      <c r="B319" s="4" t="n">
        <v>8351500</v>
      </c>
    </row>
    <row r="320">
      <c r="A320" s="3" t="n">
        <v>45608</v>
      </c>
      <c r="B320" s="4" t="n">
        <v>10490000</v>
      </c>
    </row>
    <row r="321">
      <c r="A321" s="3" t="n">
        <v>45609</v>
      </c>
      <c r="B321" s="4" t="n">
        <v>7078000</v>
      </c>
    </row>
    <row r="322">
      <c r="A322" s="3" t="n">
        <v>45610</v>
      </c>
      <c r="B322" s="4" t="n">
        <v>10407000</v>
      </c>
    </row>
    <row r="323">
      <c r="A323" s="3" t="n">
        <v>45611</v>
      </c>
      <c r="B323" s="4" t="n">
        <v>8550500</v>
      </c>
    </row>
    <row r="324">
      <c r="A324" s="3" t="n">
        <v>45612</v>
      </c>
      <c r="B324" s="4" t="n">
        <v>10892500</v>
      </c>
    </row>
    <row r="325">
      <c r="A325" s="3" t="n">
        <v>45613</v>
      </c>
      <c r="B325" s="4" t="n">
        <v>6091500</v>
      </c>
    </row>
    <row r="326">
      <c r="A326" s="3" t="n">
        <v>45614</v>
      </c>
      <c r="B326" s="4" t="n">
        <v>7801000</v>
      </c>
    </row>
    <row r="327">
      <c r="A327" s="3" t="n">
        <v>45615</v>
      </c>
      <c r="B327" s="4" t="n">
        <v>8385000</v>
      </c>
    </row>
    <row r="328">
      <c r="A328" s="3" t="n">
        <v>45616</v>
      </c>
      <c r="B328" s="4" t="n">
        <v>7323500</v>
      </c>
    </row>
    <row r="329">
      <c r="A329" s="3" t="n">
        <v>45617</v>
      </c>
      <c r="B329" s="4" t="n">
        <v>11587000</v>
      </c>
    </row>
    <row r="330">
      <c r="A330" s="3" t="n">
        <v>45618</v>
      </c>
      <c r="B330" s="4" t="n">
        <v>11990000</v>
      </c>
    </row>
    <row r="331">
      <c r="A331" s="3" t="n">
        <v>45619</v>
      </c>
      <c r="B331" s="4" t="n">
        <v>10392500</v>
      </c>
    </row>
    <row r="332">
      <c r="A332" s="3" t="n">
        <v>45620</v>
      </c>
      <c r="B332" s="4" t="n">
        <v>10481500</v>
      </c>
    </row>
    <row r="333">
      <c r="A333" s="3" t="n">
        <v>45621</v>
      </c>
      <c r="B333" s="4" t="n">
        <v>7009000</v>
      </c>
    </row>
    <row r="334">
      <c r="A334" s="3" t="n">
        <v>45622</v>
      </c>
      <c r="B334" s="4" t="n">
        <v>5383500</v>
      </c>
    </row>
    <row r="335">
      <c r="A335" s="3" t="n">
        <v>45623</v>
      </c>
      <c r="B335" s="4" t="n">
        <v>5223500</v>
      </c>
    </row>
    <row r="336">
      <c r="A336" s="3" t="n">
        <v>45624</v>
      </c>
      <c r="B336" s="4" t="n">
        <v>7754500</v>
      </c>
    </row>
    <row r="337">
      <c r="A337" s="3" t="n">
        <v>45625</v>
      </c>
      <c r="B337" s="4" t="n">
        <v>8956000</v>
      </c>
    </row>
    <row r="338">
      <c r="A338" s="3" t="n">
        <v>45626</v>
      </c>
      <c r="B338" s="4" t="n">
        <v>7314500</v>
      </c>
    </row>
    <row r="339">
      <c r="A339" s="3" t="n">
        <v>45627</v>
      </c>
      <c r="B339" s="4" t="n">
        <v>8040000</v>
      </c>
    </row>
    <row r="340">
      <c r="A340" s="3" t="n">
        <v>45628</v>
      </c>
      <c r="B340" s="4" t="n">
        <v>8692500</v>
      </c>
    </row>
    <row r="341">
      <c r="A341" s="3" t="n">
        <v>45629</v>
      </c>
      <c r="B341" s="4" t="n">
        <v>10944500</v>
      </c>
    </row>
    <row r="342">
      <c r="A342" s="3" t="n">
        <v>45630</v>
      </c>
      <c r="B342" s="4" t="n">
        <v>9158500</v>
      </c>
    </row>
    <row r="343">
      <c r="A343" s="3" t="n">
        <v>45631</v>
      </c>
      <c r="B343" s="4" t="n">
        <v>8779000</v>
      </c>
    </row>
    <row r="344">
      <c r="A344" s="3" t="n">
        <v>45632</v>
      </c>
      <c r="B344" s="4" t="n">
        <v>9556500</v>
      </c>
    </row>
    <row r="345">
      <c r="A345" s="3" t="n">
        <v>45633</v>
      </c>
      <c r="B345" s="4" t="n">
        <v>10818500</v>
      </c>
    </row>
    <row r="346">
      <c r="A346" s="3" t="n">
        <v>45634</v>
      </c>
      <c r="B346" s="4" t="n">
        <v>12104500</v>
      </c>
    </row>
    <row r="347">
      <c r="A347" s="3" t="n">
        <v>45635</v>
      </c>
      <c r="B347" s="4" t="n">
        <v>12313500</v>
      </c>
    </row>
    <row r="348">
      <c r="A348" s="3" t="n">
        <v>45636</v>
      </c>
      <c r="B348" s="4" t="n">
        <v>9570500</v>
      </c>
    </row>
    <row r="349">
      <c r="A349" s="3" t="n">
        <v>45637</v>
      </c>
      <c r="B349" s="4" t="n">
        <v>6404500</v>
      </c>
    </row>
    <row r="350">
      <c r="A350" s="3" t="n">
        <v>45638</v>
      </c>
      <c r="B350" s="4" t="n">
        <v>7681000</v>
      </c>
    </row>
    <row r="351">
      <c r="A351" s="3" t="n">
        <v>45639</v>
      </c>
      <c r="B351" s="4" t="n">
        <v>13147000</v>
      </c>
    </row>
    <row r="352">
      <c r="A352" s="3" t="n">
        <v>45640</v>
      </c>
      <c r="B352" s="4" t="n">
        <v>9376000</v>
      </c>
    </row>
    <row r="353">
      <c r="A353" s="3" t="n">
        <v>45641</v>
      </c>
      <c r="B353" s="4" t="n">
        <v>13253000</v>
      </c>
    </row>
    <row r="354">
      <c r="A354" s="3" t="n">
        <v>45642</v>
      </c>
      <c r="B354" s="4" t="n">
        <v>11361500</v>
      </c>
    </row>
    <row r="355">
      <c r="A355" s="3" t="n">
        <v>45643</v>
      </c>
      <c r="B355" s="4" t="n">
        <v>10575500</v>
      </c>
    </row>
    <row r="356">
      <c r="A356" s="3" t="n">
        <v>45644</v>
      </c>
      <c r="B356" s="4" t="n">
        <v>7358000</v>
      </c>
    </row>
    <row r="357">
      <c r="A357" s="3" t="n">
        <v>45645</v>
      </c>
      <c r="B357" s="4" t="n">
        <v>11779500</v>
      </c>
    </row>
    <row r="358">
      <c r="A358" s="3" t="n">
        <v>45646</v>
      </c>
      <c r="B358" s="4" t="n">
        <v>10830000</v>
      </c>
    </row>
    <row r="359">
      <c r="A359" s="3" t="n">
        <v>45647</v>
      </c>
      <c r="B359" s="4" t="n">
        <v>8200500</v>
      </c>
    </row>
    <row r="360">
      <c r="A360" s="3" t="n">
        <v>45648</v>
      </c>
      <c r="B360" s="4" t="n">
        <v>16731000</v>
      </c>
    </row>
    <row r="361">
      <c r="A361" s="3" t="n">
        <v>45649</v>
      </c>
      <c r="B361" s="4" t="n">
        <v>8635500</v>
      </c>
    </row>
    <row r="362">
      <c r="A362" s="3" t="n">
        <v>45650</v>
      </c>
      <c r="B362" s="4" t="n">
        <v>13701500</v>
      </c>
    </row>
    <row r="363">
      <c r="A363" s="3" t="n">
        <v>45651</v>
      </c>
      <c r="B363" s="4" t="n">
        <v>13115500</v>
      </c>
    </row>
    <row r="364">
      <c r="A364" s="3" t="n">
        <v>45652</v>
      </c>
      <c r="B364" s="4" t="n">
        <v>9140500</v>
      </c>
    </row>
    <row r="365">
      <c r="A365" s="3" t="n">
        <v>45653</v>
      </c>
      <c r="B365" s="4" t="n">
        <v>7851000</v>
      </c>
    </row>
    <row r="366">
      <c r="A366" s="3" t="n">
        <v>45654</v>
      </c>
      <c r="B366" s="4" t="n">
        <v>12099500</v>
      </c>
    </row>
    <row r="367">
      <c r="A367" s="3" t="n">
        <v>45655</v>
      </c>
      <c r="B367" s="4" t="n">
        <v>11173500</v>
      </c>
    </row>
    <row r="368">
      <c r="A368" s="3" t="n">
        <v>45656</v>
      </c>
      <c r="B368" s="4" t="n">
        <v>8234000</v>
      </c>
    </row>
    <row r="369">
      <c r="A369" s="3" t="n">
        <v>45657</v>
      </c>
      <c r="B369" s="4" t="n">
        <v>11728000</v>
      </c>
    </row>
    <row r="370">
      <c r="A370" s="3" t="n">
        <v>45658</v>
      </c>
      <c r="B370" s="4" t="n">
        <v>9596000</v>
      </c>
    </row>
    <row r="371">
      <c r="A371" s="3" t="n">
        <v>45659</v>
      </c>
      <c r="B371" s="4" t="n">
        <v>9724000</v>
      </c>
    </row>
    <row r="372">
      <c r="A372" s="3" t="n">
        <v>45660</v>
      </c>
      <c r="B372" s="4" t="n">
        <v>9176000</v>
      </c>
    </row>
    <row r="373">
      <c r="A373" s="3" t="n">
        <v>45661</v>
      </c>
      <c r="B373" s="4" t="n">
        <v>15369000</v>
      </c>
    </row>
    <row r="374">
      <c r="A374" s="3" t="n">
        <v>45662</v>
      </c>
      <c r="B374" s="4" t="n">
        <v>9806000</v>
      </c>
    </row>
    <row r="375">
      <c r="A375" s="3" t="n">
        <v>45663</v>
      </c>
      <c r="B375" s="4" t="n">
        <v>6962000</v>
      </c>
    </row>
    <row r="376">
      <c r="A376" s="3" t="n">
        <v>45664</v>
      </c>
      <c r="B376" s="4" t="n">
        <v>11638000</v>
      </c>
    </row>
    <row r="377">
      <c r="A377" s="3" t="n">
        <v>45665</v>
      </c>
      <c r="B377" s="4" t="n">
        <v>13107000</v>
      </c>
    </row>
    <row r="378">
      <c r="A378" s="3" t="n">
        <v>45666</v>
      </c>
      <c r="B378" s="4" t="n">
        <v>15215000</v>
      </c>
    </row>
    <row r="379">
      <c r="A379" s="3" t="n">
        <v>45667</v>
      </c>
      <c r="B379" s="4" t="n">
        <v>17166000</v>
      </c>
    </row>
    <row r="380">
      <c r="A380" s="3" t="n">
        <v>45668</v>
      </c>
      <c r="B380" s="4" t="n">
        <v>16935000</v>
      </c>
    </row>
    <row r="381">
      <c r="A381" s="3" t="n">
        <v>45669</v>
      </c>
      <c r="B381" s="4" t="n">
        <v>20803000</v>
      </c>
    </row>
    <row r="382">
      <c r="A382" s="3" t="n">
        <v>45670</v>
      </c>
      <c r="B382" s="4" t="n">
        <v>17082000</v>
      </c>
    </row>
    <row r="383">
      <c r="A383" s="3" t="n">
        <v>45671</v>
      </c>
      <c r="B383" s="4" t="n">
        <v>18470000</v>
      </c>
    </row>
    <row r="384">
      <c r="A384" s="3" t="n">
        <v>45672</v>
      </c>
      <c r="B384" s="4" t="n">
        <v>21794000</v>
      </c>
    </row>
    <row r="385">
      <c r="A385" s="3" t="n">
        <v>45673</v>
      </c>
      <c r="B385" s="4" t="n">
        <v>15244000</v>
      </c>
    </row>
    <row r="386">
      <c r="A386" s="3" t="n">
        <v>45674</v>
      </c>
      <c r="B386" s="4" t="n">
        <v>19473000</v>
      </c>
    </row>
    <row r="387">
      <c r="A387" s="3" t="n">
        <v>45675</v>
      </c>
      <c r="B387" s="4" t="n">
        <v>13979000</v>
      </c>
    </row>
    <row r="388">
      <c r="A388" s="3" t="n">
        <v>45676</v>
      </c>
      <c r="B388" s="4" t="n">
        <v>19672000</v>
      </c>
    </row>
    <row r="389">
      <c r="A389" s="3" t="n">
        <v>45677</v>
      </c>
      <c r="B389" s="4" t="n">
        <v>11727000</v>
      </c>
    </row>
    <row r="390">
      <c r="A390" s="3" t="n">
        <v>45678</v>
      </c>
      <c r="B390" s="4" t="n">
        <v>9844000</v>
      </c>
    </row>
    <row r="391">
      <c r="A391" s="3" t="n">
        <v>45679</v>
      </c>
      <c r="B391" s="4" t="n">
        <v>16762000</v>
      </c>
    </row>
    <row r="392">
      <c r="A392" s="3" t="n">
        <v>45680</v>
      </c>
      <c r="B392" s="4" t="n">
        <v>10301000</v>
      </c>
    </row>
    <row r="393">
      <c r="A393" s="3" t="n">
        <v>45681</v>
      </c>
      <c r="B393" s="4" t="n">
        <v>17599000</v>
      </c>
    </row>
    <row r="394">
      <c r="A394" s="3" t="n">
        <v>45682</v>
      </c>
      <c r="B394" s="4" t="n">
        <v>19105000</v>
      </c>
    </row>
    <row r="395">
      <c r="A395" s="3" t="n">
        <v>45683</v>
      </c>
      <c r="B395" s="4" t="n">
        <v>15936000</v>
      </c>
    </row>
    <row r="396">
      <c r="A396" s="3" t="n">
        <v>45684</v>
      </c>
      <c r="B396" s="4" t="n">
        <v>17689000</v>
      </c>
    </row>
    <row r="397">
      <c r="A397" s="3" t="n">
        <v>45685</v>
      </c>
      <c r="B397" s="4" t="n">
        <v>15552000</v>
      </c>
    </row>
    <row r="398">
      <c r="A398" s="3" t="n">
        <v>45686</v>
      </c>
      <c r="B398" s="4" t="n">
        <v>5407000</v>
      </c>
    </row>
    <row r="399">
      <c r="A399" s="3" t="n">
        <v>45687</v>
      </c>
      <c r="B399" s="4" t="n">
        <v>2772000</v>
      </c>
    </row>
    <row r="400">
      <c r="A400" s="3" t="n">
        <v>45688</v>
      </c>
      <c r="B400" s="4" t="n">
        <v>1945000</v>
      </c>
    </row>
    <row r="401">
      <c r="A401" s="3" t="n">
        <v>45689</v>
      </c>
      <c r="B401" s="4" t="n">
        <v>2265000</v>
      </c>
    </row>
    <row r="402">
      <c r="A402" s="3" t="n">
        <v>45690</v>
      </c>
      <c r="B402" s="4" t="n">
        <v>2381000</v>
      </c>
    </row>
    <row r="403">
      <c r="A403" s="3" t="n">
        <v>45691</v>
      </c>
      <c r="B403" s="4" t="n">
        <v>8765000</v>
      </c>
    </row>
    <row r="404">
      <c r="A404" s="3" t="n">
        <v>45692</v>
      </c>
      <c r="B404" s="4" t="n">
        <v>8032000</v>
      </c>
    </row>
    <row r="405">
      <c r="A405" s="3" t="n">
        <v>45693</v>
      </c>
      <c r="B405" s="4" t="n">
        <v>4852000</v>
      </c>
    </row>
    <row r="406">
      <c r="A406" s="3" t="n">
        <v>45694</v>
      </c>
      <c r="B406" s="4" t="n">
        <v>8662000</v>
      </c>
    </row>
    <row r="407">
      <c r="A407" s="3" t="n">
        <v>45695</v>
      </c>
      <c r="B407" s="4" t="n">
        <v>8229000</v>
      </c>
    </row>
    <row r="408">
      <c r="A408" s="3" t="n">
        <v>45696</v>
      </c>
      <c r="B408" s="4" t="n">
        <v>8254000</v>
      </c>
    </row>
    <row r="409">
      <c r="A409" s="3" t="n">
        <v>45697</v>
      </c>
      <c r="B409" s="4" t="n">
        <v>10536000</v>
      </c>
    </row>
    <row r="410">
      <c r="A410" s="3" t="n">
        <v>45698</v>
      </c>
      <c r="B410" s="4" t="n">
        <v>8554000</v>
      </c>
    </row>
    <row r="411">
      <c r="A411" s="3" t="n">
        <v>45699</v>
      </c>
      <c r="B411" s="4" t="n">
        <v>9397000</v>
      </c>
    </row>
    <row r="412">
      <c r="A412" s="3" t="n">
        <v>45700</v>
      </c>
      <c r="B412" s="4" t="n">
        <v>10282000</v>
      </c>
    </row>
    <row r="413">
      <c r="A413" s="3" t="n">
        <v>45701</v>
      </c>
      <c r="B413" s="4" t="n">
        <v>4841000</v>
      </c>
    </row>
    <row r="414">
      <c r="A414" s="3" t="n">
        <v>45702</v>
      </c>
      <c r="B414" s="4" t="n">
        <v>9951000</v>
      </c>
    </row>
    <row r="415">
      <c r="A415" s="3" t="n">
        <v>45703</v>
      </c>
      <c r="B415" s="4" t="n">
        <v>10408000</v>
      </c>
    </row>
    <row r="416">
      <c r="A416" s="3" t="n">
        <v>45704</v>
      </c>
      <c r="B416" s="4" t="n">
        <v>11023000</v>
      </c>
    </row>
    <row r="417">
      <c r="A417" s="3" t="n">
        <v>45705</v>
      </c>
      <c r="B417" s="4" t="n">
        <v>11645000</v>
      </c>
    </row>
    <row r="418">
      <c r="A418" s="3" t="n">
        <v>45706</v>
      </c>
      <c r="B418" s="4" t="n">
        <v>9637000</v>
      </c>
    </row>
    <row r="419">
      <c r="A419" s="3" t="n">
        <v>45707</v>
      </c>
      <c r="B419" s="4" t="n">
        <v>9749000</v>
      </c>
    </row>
    <row r="420">
      <c r="A420" s="3" t="n">
        <v>45708</v>
      </c>
      <c r="B420" s="4" t="n">
        <v>6122000</v>
      </c>
    </row>
    <row r="421">
      <c r="A421" s="3" t="n">
        <v>45709</v>
      </c>
      <c r="B421" s="4" t="n">
        <v>8161000</v>
      </c>
    </row>
    <row r="422">
      <c r="A422" s="3" t="n">
        <v>45710</v>
      </c>
      <c r="B422" s="4" t="n">
        <v>14229000</v>
      </c>
    </row>
    <row r="423">
      <c r="A423" s="3" t="n">
        <v>45711</v>
      </c>
      <c r="B423" s="4" t="n">
        <v>15089000</v>
      </c>
    </row>
    <row r="424">
      <c r="A424" s="3" t="n">
        <v>45712</v>
      </c>
      <c r="B424" s="4" t="n">
        <v>12513000</v>
      </c>
    </row>
    <row r="425">
      <c r="A425" s="3" t="n">
        <v>45713</v>
      </c>
      <c r="B425" s="4" t="n">
        <v>7940000</v>
      </c>
    </row>
    <row r="426">
      <c r="A426" s="3" t="n">
        <v>45714</v>
      </c>
      <c r="B426" s="4" t="n">
        <v>7292000</v>
      </c>
    </row>
    <row r="427">
      <c r="A427" s="3" t="n">
        <v>45715</v>
      </c>
      <c r="B427" s="4" t="n">
        <v>8889000</v>
      </c>
    </row>
    <row r="428">
      <c r="A428" s="3" t="n">
        <v>45716</v>
      </c>
      <c r="B428" s="4" t="n">
        <v>8298000</v>
      </c>
    </row>
    <row r="429">
      <c r="A429" s="3" t="n">
        <v>45717</v>
      </c>
      <c r="B429" s="4" t="n">
        <v>10553000</v>
      </c>
    </row>
    <row r="430">
      <c r="A430" s="3" t="n">
        <v>45718</v>
      </c>
      <c r="B430" s="4" t="n">
        <v>9186000</v>
      </c>
    </row>
    <row r="431">
      <c r="A431" s="3" t="n">
        <v>45719</v>
      </c>
      <c r="B431" s="4" t="n">
        <v>4595000</v>
      </c>
    </row>
    <row r="432">
      <c r="A432" s="3" t="n">
        <v>45720</v>
      </c>
      <c r="B432" s="4" t="n">
        <v>5307000</v>
      </c>
    </row>
    <row r="433">
      <c r="A433" s="3" t="n">
        <v>45721</v>
      </c>
      <c r="B433" s="4" t="n">
        <v>7179000</v>
      </c>
    </row>
    <row r="434">
      <c r="A434" s="3" t="n">
        <v>45722</v>
      </c>
      <c r="B434" s="4" t="n">
        <v>5316000</v>
      </c>
    </row>
    <row r="435">
      <c r="A435" s="3" t="n">
        <v>45723</v>
      </c>
      <c r="B435" s="4" t="n">
        <v>6051000</v>
      </c>
    </row>
    <row r="436">
      <c r="A436" s="3" t="n">
        <v>45724</v>
      </c>
      <c r="B436" s="4" t="n">
        <v>14264000</v>
      </c>
    </row>
    <row r="437">
      <c r="A437" s="3" t="n">
        <v>45725</v>
      </c>
      <c r="B437" s="4" t="n">
        <v>10388000</v>
      </c>
    </row>
    <row r="438">
      <c r="A438" s="3" t="n">
        <v>45726</v>
      </c>
      <c r="B438" s="4" t="n">
        <v>10076000</v>
      </c>
    </row>
    <row r="439">
      <c r="A439" s="3" t="n">
        <v>45727</v>
      </c>
      <c r="B439" s="4" t="n">
        <v>9010000</v>
      </c>
    </row>
    <row r="440">
      <c r="A440" s="3" t="n">
        <v>45728</v>
      </c>
      <c r="B440" s="4" t="n">
        <v>6846000</v>
      </c>
    </row>
    <row r="441">
      <c r="A441" s="3" t="n">
        <v>45729</v>
      </c>
      <c r="B441" s="4" t="n">
        <v>7535000</v>
      </c>
    </row>
    <row r="442">
      <c r="A442" s="3" t="n">
        <v>45730</v>
      </c>
      <c r="B442" s="4" t="n">
        <v>10058000</v>
      </c>
    </row>
    <row r="443">
      <c r="A443" s="3" t="n">
        <v>45731</v>
      </c>
      <c r="B443" s="4" t="n">
        <v>7524000</v>
      </c>
    </row>
    <row r="444">
      <c r="A444" s="3" t="n">
        <v>45732</v>
      </c>
      <c r="B444" s="4" t="n">
        <v>10046000</v>
      </c>
    </row>
    <row r="445">
      <c r="A445" s="3" t="n">
        <v>45733</v>
      </c>
      <c r="B445" s="4" t="n">
        <v>8015000</v>
      </c>
    </row>
    <row r="446">
      <c r="A446" s="3" t="n">
        <v>45734</v>
      </c>
      <c r="B446" s="4" t="n">
        <v>6546000</v>
      </c>
    </row>
    <row r="447">
      <c r="A447" s="3" t="n">
        <v>45735</v>
      </c>
      <c r="B447" s="4" t="n">
        <v>7337000</v>
      </c>
    </row>
    <row r="448">
      <c r="A448" s="3" t="n">
        <v>45736</v>
      </c>
      <c r="B448" s="4" t="n">
        <v>9792000</v>
      </c>
    </row>
    <row r="449">
      <c r="A449" s="3" t="n">
        <v>45737</v>
      </c>
      <c r="B449" s="4" t="n">
        <v>4162000</v>
      </c>
    </row>
    <row r="450">
      <c r="A450" s="3" t="n">
        <v>45738</v>
      </c>
      <c r="B450" s="4" t="n">
        <v>10481000</v>
      </c>
    </row>
    <row r="451">
      <c r="A451" s="3" t="n">
        <v>45739</v>
      </c>
      <c r="B451" s="4" t="n">
        <v>15703000</v>
      </c>
    </row>
    <row r="452">
      <c r="A452" s="3" t="n">
        <v>45740</v>
      </c>
      <c r="B452" s="4" t="n">
        <v>10346000</v>
      </c>
    </row>
    <row r="453">
      <c r="A453" s="3" t="n">
        <v>45741</v>
      </c>
      <c r="B453" s="4" t="n">
        <v>10267000</v>
      </c>
    </row>
    <row r="454">
      <c r="A454" s="3" t="n">
        <v>45742</v>
      </c>
      <c r="B454" s="4" t="n">
        <v>9621000</v>
      </c>
    </row>
    <row r="455">
      <c r="A455" s="3" t="n">
        <v>45743</v>
      </c>
      <c r="B455" s="4" t="n">
        <v>6995000</v>
      </c>
    </row>
    <row r="456">
      <c r="A456" s="3" t="n">
        <v>45744</v>
      </c>
      <c r="B456" s="4" t="n">
        <v>6244000</v>
      </c>
    </row>
    <row r="457">
      <c r="A457" s="3" t="n">
        <v>45745</v>
      </c>
      <c r="B457" s="4" t="n">
        <v>11003000</v>
      </c>
    </row>
    <row r="458">
      <c r="A458" s="3" t="n">
        <v>45746</v>
      </c>
      <c r="B458" s="4" t="n">
        <v>9276000</v>
      </c>
    </row>
    <row r="459">
      <c r="A459" s="3" t="n">
        <v>45747</v>
      </c>
      <c r="B459" s="4" t="n">
        <v>9886000</v>
      </c>
    </row>
    <row r="460">
      <c r="A460" s="3" t="n">
        <v>45748</v>
      </c>
      <c r="B460" s="4" t="n">
        <v>7821000</v>
      </c>
    </row>
    <row r="461">
      <c r="A461" s="3" t="n">
        <v>45749</v>
      </c>
      <c r="B461" s="4" t="n">
        <v>8557000</v>
      </c>
    </row>
    <row r="462">
      <c r="A462" s="3" t="n">
        <v>45750</v>
      </c>
      <c r="B462" s="4" t="n">
        <v>12866000</v>
      </c>
    </row>
    <row r="463">
      <c r="A463" s="3" t="n">
        <v>45751</v>
      </c>
      <c r="B463" s="4" t="n">
        <v>7560000</v>
      </c>
    </row>
    <row r="464">
      <c r="A464" s="3" t="n">
        <v>45752</v>
      </c>
      <c r="B464" s="4" t="n">
        <v>10285000</v>
      </c>
    </row>
    <row r="465">
      <c r="A465" s="3" t="n">
        <v>45753</v>
      </c>
      <c r="B465" s="4" t="n">
        <v>13924000</v>
      </c>
    </row>
    <row r="466">
      <c r="A466" s="3" t="n">
        <v>45754</v>
      </c>
      <c r="B466" s="4" t="n">
        <v>6572000</v>
      </c>
    </row>
    <row r="467">
      <c r="A467" s="3" t="n">
        <v>45755</v>
      </c>
      <c r="B467" s="4" t="n">
        <v>9738000</v>
      </c>
    </row>
    <row r="468">
      <c r="A468" s="3" t="n">
        <v>45756</v>
      </c>
      <c r="B468" s="4" t="n">
        <v>15243000</v>
      </c>
    </row>
    <row r="469">
      <c r="A469" s="3" t="n">
        <v>45757</v>
      </c>
      <c r="B469" s="4" t="n">
        <v>9023000</v>
      </c>
    </row>
    <row r="470">
      <c r="A470" s="3" t="n">
        <v>45758</v>
      </c>
      <c r="B470" s="4" t="n">
        <v>11997000</v>
      </c>
    </row>
    <row r="471">
      <c r="A471" s="3" t="n">
        <v>45759</v>
      </c>
      <c r="B471" s="4" t="n">
        <v>6011000</v>
      </c>
    </row>
    <row r="472">
      <c r="A472" s="3" t="n">
        <v>45760</v>
      </c>
      <c r="B472" s="4" t="n">
        <v>9507000</v>
      </c>
    </row>
    <row r="473">
      <c r="A473" s="3" t="n">
        <v>45761</v>
      </c>
      <c r="B473" s="4" t="n">
        <v>7754000</v>
      </c>
    </row>
    <row r="474">
      <c r="A474" s="3" t="n">
        <v>45762</v>
      </c>
      <c r="B474" s="4" t="n">
        <v>10979000</v>
      </c>
    </row>
    <row r="475">
      <c r="A475" s="3" t="n">
        <v>45763</v>
      </c>
      <c r="B475" s="4" t="n">
        <v>7104000</v>
      </c>
    </row>
    <row r="476">
      <c r="A476" s="3" t="n">
        <v>45764</v>
      </c>
      <c r="B476" s="4" t="n">
        <v>9913000</v>
      </c>
    </row>
    <row r="477">
      <c r="A477" s="3" t="n">
        <v>45765</v>
      </c>
      <c r="B477" s="4" t="n">
        <v>6502000</v>
      </c>
    </row>
    <row r="478">
      <c r="A478" s="3" t="n">
        <v>45766</v>
      </c>
      <c r="B478" s="4" t="n">
        <v>12249000</v>
      </c>
    </row>
    <row r="479">
      <c r="A479" s="3" t="n">
        <v>45767</v>
      </c>
      <c r="B479" s="4" t="n">
        <v>8370000</v>
      </c>
    </row>
    <row r="480">
      <c r="A480" s="3" t="n">
        <v>45768</v>
      </c>
      <c r="B480" s="4" t="n">
        <v>11266000</v>
      </c>
    </row>
    <row r="481">
      <c r="A481" s="3" t="n">
        <v>45769</v>
      </c>
      <c r="B481" s="4" t="n">
        <v>11688000</v>
      </c>
    </row>
    <row r="482">
      <c r="A482" s="3" t="n">
        <v>45770</v>
      </c>
      <c r="B482" s="4" t="n">
        <v>11919000</v>
      </c>
    </row>
    <row r="483">
      <c r="A483" s="3" t="n">
        <v>45771</v>
      </c>
      <c r="B483" s="4" t="n">
        <v>10112000</v>
      </c>
    </row>
    <row r="484">
      <c r="A484" s="3" t="n">
        <v>45772</v>
      </c>
      <c r="B484" s="4" t="n">
        <v>7699000</v>
      </c>
    </row>
    <row r="485">
      <c r="A485" s="3" t="n">
        <v>45773</v>
      </c>
      <c r="B485" s="4" t="n">
        <v>12113000</v>
      </c>
    </row>
    <row r="486">
      <c r="A486" s="3" t="n">
        <v>45774</v>
      </c>
      <c r="B486" s="4" t="n">
        <v>9880000</v>
      </c>
    </row>
    <row r="487">
      <c r="A487" s="3" t="n">
        <v>45775</v>
      </c>
      <c r="B487" s="4" t="n">
        <v>11468000</v>
      </c>
    </row>
    <row r="488">
      <c r="A488" s="3" t="n">
        <v>45776</v>
      </c>
      <c r="B488" s="4" t="n">
        <v>11429000</v>
      </c>
    </row>
    <row r="489">
      <c r="A489" s="3" t="n">
        <v>45777</v>
      </c>
      <c r="B489" s="4" t="n">
        <v>7416000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9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" customWidth="1" min="3" max="3"/>
    <col width="44" customWidth="1" min="4" max="4"/>
    <col width="22" customWidth="1" min="5" max="5"/>
  </cols>
  <sheetData>
    <row r="1">
      <c r="A1" s="1" t="inlineStr">
        <is>
          <t>Thống kê trên bảng Ngày–Doanh thu</t>
        </is>
      </c>
    </row>
    <row r="3">
      <c r="A3" s="2" t="inlineStr">
        <is>
          <t>STT</t>
        </is>
      </c>
      <c r="B3" s="2" t="inlineStr">
        <is>
          <t>Thu (1 = Thứ Hai)</t>
        </is>
      </c>
      <c r="D3" s="2" t="inlineStr">
        <is>
          <t>Thứ</t>
        </is>
      </c>
      <c r="E3" s="2" t="inlineStr">
        <is>
          <t>Doanh thu TB mỗi ngày</t>
        </is>
      </c>
    </row>
    <row r="4">
      <c r="A4" s="5" t="n">
        <v>1</v>
      </c>
      <c r="B4" s="5">
        <f>WEEKDAY(Demo_Trendline!A4,2)</f>
        <v/>
      </c>
      <c r="D4" s="5" t="inlineStr">
        <is>
          <t>Thứ Hai</t>
        </is>
      </c>
      <c r="E4" s="4">
        <f>AVERAGEIFS(tblNgay[Doanh thu],$B$4:$B$489,1)</f>
        <v/>
      </c>
    </row>
    <row r="5">
      <c r="A5" s="5" t="n">
        <v>2</v>
      </c>
      <c r="B5" s="5">
        <f>WEEKDAY(Demo_Trendline!A5,2)</f>
        <v/>
      </c>
      <c r="D5" s="5" t="inlineStr">
        <is>
          <t>Thứ Ba</t>
        </is>
      </c>
      <c r="E5" s="4">
        <f>AVERAGEIFS(tblNgay[Doanh thu],$B$4:$B$489,2)</f>
        <v/>
      </c>
    </row>
    <row r="6">
      <c r="A6" s="5" t="n">
        <v>3</v>
      </c>
      <c r="B6" s="5">
        <f>WEEKDAY(Demo_Trendline!A6,2)</f>
        <v/>
      </c>
      <c r="D6" s="5" t="inlineStr">
        <is>
          <t>Thứ Tư</t>
        </is>
      </c>
      <c r="E6" s="4">
        <f>AVERAGEIFS(tblNgay[Doanh thu],$B$4:$B$489,3)</f>
        <v/>
      </c>
    </row>
    <row r="7">
      <c r="A7" s="5" t="n">
        <v>4</v>
      </c>
      <c r="B7" s="5">
        <f>WEEKDAY(Demo_Trendline!A7,2)</f>
        <v/>
      </c>
      <c r="D7" s="5" t="inlineStr">
        <is>
          <t>Thứ Năm</t>
        </is>
      </c>
      <c r="E7" s="4">
        <f>AVERAGEIFS(tblNgay[Doanh thu],$B$4:$B$489,4)</f>
        <v/>
      </c>
    </row>
    <row r="8">
      <c r="A8" s="5" t="n">
        <v>5</v>
      </c>
      <c r="B8" s="5">
        <f>WEEKDAY(Demo_Trendline!A8,2)</f>
        <v/>
      </c>
      <c r="D8" s="5" t="inlineStr">
        <is>
          <t>Thứ Sáu</t>
        </is>
      </c>
      <c r="E8" s="4">
        <f>AVERAGEIFS(tblNgay[Doanh thu],$B$4:$B$489,5)</f>
        <v/>
      </c>
    </row>
    <row r="9">
      <c r="A9" s="5" t="n">
        <v>6</v>
      </c>
      <c r="B9" s="5">
        <f>WEEKDAY(Demo_Trendline!A9,2)</f>
        <v/>
      </c>
      <c r="D9" s="5" t="inlineStr">
        <is>
          <t>Thứ Bảy</t>
        </is>
      </c>
      <c r="E9" s="4">
        <f>AVERAGEIFS(tblNgay[Doanh thu],$B$4:$B$489,6)</f>
        <v/>
      </c>
    </row>
    <row r="10">
      <c r="A10" s="5" t="n">
        <v>7</v>
      </c>
      <c r="B10" s="5">
        <f>WEEKDAY(Demo_Trendline!A10,2)</f>
        <v/>
      </c>
      <c r="D10" s="5" t="inlineStr">
        <is>
          <t>Chủ nhật</t>
        </is>
      </c>
      <c r="E10" s="4">
        <f>AVERAGEIFS(tblNgay[Doanh thu],$B$4:$B$489,7)</f>
        <v/>
      </c>
    </row>
    <row r="11">
      <c r="A11" s="5" t="n">
        <v>8</v>
      </c>
      <c r="B11" s="5">
        <f>WEEKDAY(Demo_Trendline!A11,2)</f>
        <v/>
      </c>
    </row>
    <row r="12">
      <c r="A12" s="5" t="n">
        <v>9</v>
      </c>
      <c r="B12" s="5">
        <f>WEEKDAY(Demo_Trendline!A12,2)</f>
        <v/>
      </c>
    </row>
    <row r="13">
      <c r="A13" s="5" t="n">
        <v>10</v>
      </c>
      <c r="B13" s="5">
        <f>WEEKDAY(Demo_Trendline!A13,2)</f>
        <v/>
      </c>
      <c r="D13" s="5" t="inlineStr">
        <is>
          <t>Chủ nhật ÷ Thứ Hai − 1</t>
        </is>
      </c>
      <c r="E13" s="6">
        <f>E10/E4-1</f>
        <v/>
      </c>
    </row>
    <row r="14">
      <c r="A14" s="5" t="n">
        <v>11</v>
      </c>
      <c r="B14" s="5">
        <f>WEEKDAY(Demo_Trendline!A14,2)</f>
        <v/>
      </c>
      <c r="D14" s="5" t="inlineStr">
        <is>
          <t>Cuối tuần ÷ ngày thường − 1</t>
        </is>
      </c>
      <c r="E14" s="6">
        <f>AVERAGEIFS(tblNgay[Doanh thu],$B$4:$B$489,"&gt;=6")/AVERAGEIFS(tblNgay[Doanh thu],$B$4:$B$489,"&lt;=5")-1</f>
        <v/>
      </c>
    </row>
    <row r="15">
      <c r="A15" s="5" t="n">
        <v>12</v>
      </c>
      <c r="B15" s="5">
        <f>WEEKDAY(Demo_Trendline!A15,2)</f>
        <v/>
      </c>
      <c r="D15" s="5" t="inlineStr">
        <is>
          <t>Số ngày</t>
        </is>
      </c>
      <c r="E15" s="4">
        <f>COUNT(tblNgay[Doanh thu])</f>
        <v/>
      </c>
    </row>
    <row r="16">
      <c r="A16" s="5" t="n">
        <v>13</v>
      </c>
      <c r="B16" s="5">
        <f>WEEKDAY(Demo_Trendline!A16,2)</f>
        <v/>
      </c>
      <c r="D16" s="5" t="inlineStr">
        <is>
          <t>Tổng doanh thu</t>
        </is>
      </c>
      <c r="E16" s="4">
        <f>SUM(tblNgay[Doanh thu])</f>
        <v/>
      </c>
    </row>
    <row r="17">
      <c r="A17" s="5" t="n">
        <v>14</v>
      </c>
      <c r="B17" s="5">
        <f>WEEKDAY(Demo_Trendline!A17,2)</f>
        <v/>
      </c>
      <c r="D17" s="5" t="inlineStr">
        <is>
          <t>Độ lệch chuẩn doanh thu ngày</t>
        </is>
      </c>
      <c r="E17" s="4">
        <f>_xlfn.STDEV.S(tblNgay[Doanh thu])</f>
        <v/>
      </c>
    </row>
    <row r="18">
      <c r="A18" s="5" t="n">
        <v>15</v>
      </c>
      <c r="B18" s="5">
        <f>WEEKDAY(Demo_Trendline!A18,2)</f>
        <v/>
      </c>
      <c r="D18" s="5" t="inlineStr">
        <is>
          <t>Độ dốc Trendline (VNĐ/ngày, x = STT)</t>
        </is>
      </c>
      <c r="E18" s="4">
        <f>SLOPE(tblNgay[Doanh thu],$A$4:$A$489)</f>
        <v/>
      </c>
    </row>
    <row r="19">
      <c r="A19" s="5" t="n">
        <v>16</v>
      </c>
      <c r="B19" s="5">
        <f>WEEKDAY(Demo_Trendline!A19,2)</f>
        <v/>
      </c>
      <c r="D19" s="5" t="inlineStr">
        <is>
          <t>R² của Trendline tuyến tính</t>
        </is>
      </c>
      <c r="E19" s="7">
        <f>RSQ(tblNgay[Doanh thu],$A$4:$A$489)</f>
        <v/>
      </c>
    </row>
    <row r="20">
      <c r="A20" s="5" t="n">
        <v>17</v>
      </c>
      <c r="B20" s="5">
        <f>WEEKDAY(Demo_Trendline!A20,2)</f>
        <v/>
      </c>
      <c r="D20" s="5" t="inlineStr">
        <is>
          <t>Dự báo tuyến tính ngày STT 487 (01/05/2025)</t>
        </is>
      </c>
      <c r="E20" s="4">
        <f>_xlfn.FORECAST.LINEAR(487,tblNgay[Doanh thu],$A$4:$A$489)</f>
        <v/>
      </c>
    </row>
    <row r="21">
      <c r="A21" s="5" t="n">
        <v>18</v>
      </c>
      <c r="B21" s="5">
        <f>WEEKDAY(Demo_Trendline!A21,2)</f>
        <v/>
      </c>
    </row>
    <row r="22">
      <c r="A22" s="5" t="n">
        <v>19</v>
      </c>
      <c r="B22" s="5">
        <f>WEEKDAY(Demo_Trendline!A22,2)</f>
        <v/>
      </c>
    </row>
    <row r="23">
      <c r="A23" s="5" t="n">
        <v>20</v>
      </c>
      <c r="B23" s="5">
        <f>WEEKDAY(Demo_Trendline!A23,2)</f>
        <v/>
      </c>
    </row>
    <row r="24">
      <c r="A24" s="5" t="n">
        <v>21</v>
      </c>
      <c r="B24" s="5">
        <f>WEEKDAY(Demo_Trendline!A24,2)</f>
        <v/>
      </c>
    </row>
    <row r="25">
      <c r="A25" s="5" t="n">
        <v>22</v>
      </c>
      <c r="B25" s="5">
        <f>WEEKDAY(Demo_Trendline!A25,2)</f>
        <v/>
      </c>
    </row>
    <row r="26">
      <c r="A26" s="5" t="n">
        <v>23</v>
      </c>
      <c r="B26" s="5">
        <f>WEEKDAY(Demo_Trendline!A26,2)</f>
        <v/>
      </c>
    </row>
    <row r="27">
      <c r="A27" s="5" t="n">
        <v>24</v>
      </c>
      <c r="B27" s="5">
        <f>WEEKDAY(Demo_Trendline!A27,2)</f>
        <v/>
      </c>
    </row>
    <row r="28">
      <c r="A28" s="5" t="n">
        <v>25</v>
      </c>
      <c r="B28" s="5">
        <f>WEEKDAY(Demo_Trendline!A28,2)</f>
        <v/>
      </c>
    </row>
    <row r="29">
      <c r="A29" s="5" t="n">
        <v>26</v>
      </c>
      <c r="B29" s="5">
        <f>WEEKDAY(Demo_Trendline!A29,2)</f>
        <v/>
      </c>
    </row>
    <row r="30">
      <c r="A30" s="5" t="n">
        <v>27</v>
      </c>
      <c r="B30" s="5">
        <f>WEEKDAY(Demo_Trendline!A30,2)</f>
        <v/>
      </c>
    </row>
    <row r="31">
      <c r="A31" s="5" t="n">
        <v>28</v>
      </c>
      <c r="B31" s="5">
        <f>WEEKDAY(Demo_Trendline!A31,2)</f>
        <v/>
      </c>
    </row>
    <row r="32">
      <c r="A32" s="5" t="n">
        <v>29</v>
      </c>
      <c r="B32" s="5">
        <f>WEEKDAY(Demo_Trendline!A32,2)</f>
        <v/>
      </c>
    </row>
    <row r="33">
      <c r="A33" s="5" t="n">
        <v>30</v>
      </c>
      <c r="B33" s="5">
        <f>WEEKDAY(Demo_Trendline!A33,2)</f>
        <v/>
      </c>
    </row>
    <row r="34">
      <c r="A34" s="5" t="n">
        <v>31</v>
      </c>
      <c r="B34" s="5">
        <f>WEEKDAY(Demo_Trendline!A34,2)</f>
        <v/>
      </c>
    </row>
    <row r="35">
      <c r="A35" s="5" t="n">
        <v>32</v>
      </c>
      <c r="B35" s="5">
        <f>WEEKDAY(Demo_Trendline!A35,2)</f>
        <v/>
      </c>
    </row>
    <row r="36">
      <c r="A36" s="5" t="n">
        <v>33</v>
      </c>
      <c r="B36" s="5">
        <f>WEEKDAY(Demo_Trendline!A36,2)</f>
        <v/>
      </c>
    </row>
    <row r="37">
      <c r="A37" s="5" t="n">
        <v>34</v>
      </c>
      <c r="B37" s="5">
        <f>WEEKDAY(Demo_Trendline!A37,2)</f>
        <v/>
      </c>
    </row>
    <row r="38">
      <c r="A38" s="5" t="n">
        <v>35</v>
      </c>
      <c r="B38" s="5">
        <f>WEEKDAY(Demo_Trendline!A38,2)</f>
        <v/>
      </c>
    </row>
    <row r="39">
      <c r="A39" s="5" t="n">
        <v>36</v>
      </c>
      <c r="B39" s="5">
        <f>WEEKDAY(Demo_Trendline!A39,2)</f>
        <v/>
      </c>
    </row>
    <row r="40">
      <c r="A40" s="5" t="n">
        <v>37</v>
      </c>
      <c r="B40" s="5">
        <f>WEEKDAY(Demo_Trendline!A40,2)</f>
        <v/>
      </c>
    </row>
    <row r="41">
      <c r="A41" s="5" t="n">
        <v>38</v>
      </c>
      <c r="B41" s="5">
        <f>WEEKDAY(Demo_Trendline!A41,2)</f>
        <v/>
      </c>
    </row>
    <row r="42">
      <c r="A42" s="5" t="n">
        <v>39</v>
      </c>
      <c r="B42" s="5">
        <f>WEEKDAY(Demo_Trendline!A42,2)</f>
        <v/>
      </c>
    </row>
    <row r="43">
      <c r="A43" s="5" t="n">
        <v>40</v>
      </c>
      <c r="B43" s="5">
        <f>WEEKDAY(Demo_Trendline!A43,2)</f>
        <v/>
      </c>
    </row>
    <row r="44">
      <c r="A44" s="5" t="n">
        <v>41</v>
      </c>
      <c r="B44" s="5">
        <f>WEEKDAY(Demo_Trendline!A44,2)</f>
        <v/>
      </c>
    </row>
    <row r="45">
      <c r="A45" s="5" t="n">
        <v>42</v>
      </c>
      <c r="B45" s="5">
        <f>WEEKDAY(Demo_Trendline!A45,2)</f>
        <v/>
      </c>
    </row>
    <row r="46">
      <c r="A46" s="5" t="n">
        <v>43</v>
      </c>
      <c r="B46" s="5">
        <f>WEEKDAY(Demo_Trendline!A46,2)</f>
        <v/>
      </c>
    </row>
    <row r="47">
      <c r="A47" s="5" t="n">
        <v>44</v>
      </c>
      <c r="B47" s="5">
        <f>WEEKDAY(Demo_Trendline!A47,2)</f>
        <v/>
      </c>
    </row>
    <row r="48">
      <c r="A48" s="5" t="n">
        <v>45</v>
      </c>
      <c r="B48" s="5">
        <f>WEEKDAY(Demo_Trendline!A48,2)</f>
        <v/>
      </c>
    </row>
    <row r="49">
      <c r="A49" s="5" t="n">
        <v>46</v>
      </c>
      <c r="B49" s="5">
        <f>WEEKDAY(Demo_Trendline!A49,2)</f>
        <v/>
      </c>
    </row>
    <row r="50">
      <c r="A50" s="5" t="n">
        <v>47</v>
      </c>
      <c r="B50" s="5">
        <f>WEEKDAY(Demo_Trendline!A50,2)</f>
        <v/>
      </c>
    </row>
    <row r="51">
      <c r="A51" s="5" t="n">
        <v>48</v>
      </c>
      <c r="B51" s="5">
        <f>WEEKDAY(Demo_Trendline!A51,2)</f>
        <v/>
      </c>
    </row>
    <row r="52">
      <c r="A52" s="5" t="n">
        <v>49</v>
      </c>
      <c r="B52" s="5">
        <f>WEEKDAY(Demo_Trendline!A52,2)</f>
        <v/>
      </c>
    </row>
    <row r="53">
      <c r="A53" s="5" t="n">
        <v>50</v>
      </c>
      <c r="B53" s="5">
        <f>WEEKDAY(Demo_Trendline!A53,2)</f>
        <v/>
      </c>
    </row>
    <row r="54">
      <c r="A54" s="5" t="n">
        <v>51</v>
      </c>
      <c r="B54" s="5">
        <f>WEEKDAY(Demo_Trendline!A54,2)</f>
        <v/>
      </c>
    </row>
    <row r="55">
      <c r="A55" s="5" t="n">
        <v>52</v>
      </c>
      <c r="B55" s="5">
        <f>WEEKDAY(Demo_Trendline!A55,2)</f>
        <v/>
      </c>
    </row>
    <row r="56">
      <c r="A56" s="5" t="n">
        <v>53</v>
      </c>
      <c r="B56" s="5">
        <f>WEEKDAY(Demo_Trendline!A56,2)</f>
        <v/>
      </c>
    </row>
    <row r="57">
      <c r="A57" s="5" t="n">
        <v>54</v>
      </c>
      <c r="B57" s="5">
        <f>WEEKDAY(Demo_Trendline!A57,2)</f>
        <v/>
      </c>
    </row>
    <row r="58">
      <c r="A58" s="5" t="n">
        <v>55</v>
      </c>
      <c r="B58" s="5">
        <f>WEEKDAY(Demo_Trendline!A58,2)</f>
        <v/>
      </c>
    </row>
    <row r="59">
      <c r="A59" s="5" t="n">
        <v>56</v>
      </c>
      <c r="B59" s="5">
        <f>WEEKDAY(Demo_Trendline!A59,2)</f>
        <v/>
      </c>
    </row>
    <row r="60">
      <c r="A60" s="5" t="n">
        <v>57</v>
      </c>
      <c r="B60" s="5">
        <f>WEEKDAY(Demo_Trendline!A60,2)</f>
        <v/>
      </c>
    </row>
    <row r="61">
      <c r="A61" s="5" t="n">
        <v>58</v>
      </c>
      <c r="B61" s="5">
        <f>WEEKDAY(Demo_Trendline!A61,2)</f>
        <v/>
      </c>
    </row>
    <row r="62">
      <c r="A62" s="5" t="n">
        <v>59</v>
      </c>
      <c r="B62" s="5">
        <f>WEEKDAY(Demo_Trendline!A62,2)</f>
        <v/>
      </c>
    </row>
    <row r="63">
      <c r="A63" s="5" t="n">
        <v>60</v>
      </c>
      <c r="B63" s="5">
        <f>WEEKDAY(Demo_Trendline!A63,2)</f>
        <v/>
      </c>
    </row>
    <row r="64">
      <c r="A64" s="5" t="n">
        <v>61</v>
      </c>
      <c r="B64" s="5">
        <f>WEEKDAY(Demo_Trendline!A64,2)</f>
        <v/>
      </c>
    </row>
    <row r="65">
      <c r="A65" s="5" t="n">
        <v>62</v>
      </c>
      <c r="B65" s="5">
        <f>WEEKDAY(Demo_Trendline!A65,2)</f>
        <v/>
      </c>
    </row>
    <row r="66">
      <c r="A66" s="5" t="n">
        <v>63</v>
      </c>
      <c r="B66" s="5">
        <f>WEEKDAY(Demo_Trendline!A66,2)</f>
        <v/>
      </c>
    </row>
    <row r="67">
      <c r="A67" s="5" t="n">
        <v>64</v>
      </c>
      <c r="B67" s="5">
        <f>WEEKDAY(Demo_Trendline!A67,2)</f>
        <v/>
      </c>
    </row>
    <row r="68">
      <c r="A68" s="5" t="n">
        <v>65</v>
      </c>
      <c r="B68" s="5">
        <f>WEEKDAY(Demo_Trendline!A68,2)</f>
        <v/>
      </c>
    </row>
    <row r="69">
      <c r="A69" s="5" t="n">
        <v>66</v>
      </c>
      <c r="B69" s="5">
        <f>WEEKDAY(Demo_Trendline!A69,2)</f>
        <v/>
      </c>
    </row>
    <row r="70">
      <c r="A70" s="5" t="n">
        <v>67</v>
      </c>
      <c r="B70" s="5">
        <f>WEEKDAY(Demo_Trendline!A70,2)</f>
        <v/>
      </c>
    </row>
    <row r="71">
      <c r="A71" s="5" t="n">
        <v>68</v>
      </c>
      <c r="B71" s="5">
        <f>WEEKDAY(Demo_Trendline!A71,2)</f>
        <v/>
      </c>
    </row>
    <row r="72">
      <c r="A72" s="5" t="n">
        <v>69</v>
      </c>
      <c r="B72" s="5">
        <f>WEEKDAY(Demo_Trendline!A72,2)</f>
        <v/>
      </c>
    </row>
    <row r="73">
      <c r="A73" s="5" t="n">
        <v>70</v>
      </c>
      <c r="B73" s="5">
        <f>WEEKDAY(Demo_Trendline!A73,2)</f>
        <v/>
      </c>
    </row>
    <row r="74">
      <c r="A74" s="5" t="n">
        <v>71</v>
      </c>
      <c r="B74" s="5">
        <f>WEEKDAY(Demo_Trendline!A74,2)</f>
        <v/>
      </c>
    </row>
    <row r="75">
      <c r="A75" s="5" t="n">
        <v>72</v>
      </c>
      <c r="B75" s="5">
        <f>WEEKDAY(Demo_Trendline!A75,2)</f>
        <v/>
      </c>
    </row>
    <row r="76">
      <c r="A76" s="5" t="n">
        <v>73</v>
      </c>
      <c r="B76" s="5">
        <f>WEEKDAY(Demo_Trendline!A76,2)</f>
        <v/>
      </c>
    </row>
    <row r="77">
      <c r="A77" s="5" t="n">
        <v>74</v>
      </c>
      <c r="B77" s="5">
        <f>WEEKDAY(Demo_Trendline!A77,2)</f>
        <v/>
      </c>
    </row>
    <row r="78">
      <c r="A78" s="5" t="n">
        <v>75</v>
      </c>
      <c r="B78" s="5">
        <f>WEEKDAY(Demo_Trendline!A78,2)</f>
        <v/>
      </c>
    </row>
    <row r="79">
      <c r="A79" s="5" t="n">
        <v>76</v>
      </c>
      <c r="B79" s="5">
        <f>WEEKDAY(Demo_Trendline!A79,2)</f>
        <v/>
      </c>
    </row>
    <row r="80">
      <c r="A80" s="5" t="n">
        <v>77</v>
      </c>
      <c r="B80" s="5">
        <f>WEEKDAY(Demo_Trendline!A80,2)</f>
        <v/>
      </c>
    </row>
    <row r="81">
      <c r="A81" s="5" t="n">
        <v>78</v>
      </c>
      <c r="B81" s="5">
        <f>WEEKDAY(Demo_Trendline!A81,2)</f>
        <v/>
      </c>
    </row>
    <row r="82">
      <c r="A82" s="5" t="n">
        <v>79</v>
      </c>
      <c r="B82" s="5">
        <f>WEEKDAY(Demo_Trendline!A82,2)</f>
        <v/>
      </c>
    </row>
    <row r="83">
      <c r="A83" s="5" t="n">
        <v>80</v>
      </c>
      <c r="B83" s="5">
        <f>WEEKDAY(Demo_Trendline!A83,2)</f>
        <v/>
      </c>
    </row>
    <row r="84">
      <c r="A84" s="5" t="n">
        <v>81</v>
      </c>
      <c r="B84" s="5">
        <f>WEEKDAY(Demo_Trendline!A84,2)</f>
        <v/>
      </c>
    </row>
    <row r="85">
      <c r="A85" s="5" t="n">
        <v>82</v>
      </c>
      <c r="B85" s="5">
        <f>WEEKDAY(Demo_Trendline!A85,2)</f>
        <v/>
      </c>
    </row>
    <row r="86">
      <c r="A86" s="5" t="n">
        <v>83</v>
      </c>
      <c r="B86" s="5">
        <f>WEEKDAY(Demo_Trendline!A86,2)</f>
        <v/>
      </c>
    </row>
    <row r="87">
      <c r="A87" s="5" t="n">
        <v>84</v>
      </c>
      <c r="B87" s="5">
        <f>WEEKDAY(Demo_Trendline!A87,2)</f>
        <v/>
      </c>
    </row>
    <row r="88">
      <c r="A88" s="5" t="n">
        <v>85</v>
      </c>
      <c r="B88" s="5">
        <f>WEEKDAY(Demo_Trendline!A88,2)</f>
        <v/>
      </c>
    </row>
    <row r="89">
      <c r="A89" s="5" t="n">
        <v>86</v>
      </c>
      <c r="B89" s="5">
        <f>WEEKDAY(Demo_Trendline!A89,2)</f>
        <v/>
      </c>
    </row>
    <row r="90">
      <c r="A90" s="5" t="n">
        <v>87</v>
      </c>
      <c r="B90" s="5">
        <f>WEEKDAY(Demo_Trendline!A90,2)</f>
        <v/>
      </c>
    </row>
    <row r="91">
      <c r="A91" s="5" t="n">
        <v>88</v>
      </c>
      <c r="B91" s="5">
        <f>WEEKDAY(Demo_Trendline!A91,2)</f>
        <v/>
      </c>
    </row>
    <row r="92">
      <c r="A92" s="5" t="n">
        <v>89</v>
      </c>
      <c r="B92" s="5">
        <f>WEEKDAY(Demo_Trendline!A92,2)</f>
        <v/>
      </c>
    </row>
    <row r="93">
      <c r="A93" s="5" t="n">
        <v>90</v>
      </c>
      <c r="B93" s="5">
        <f>WEEKDAY(Demo_Trendline!A93,2)</f>
        <v/>
      </c>
    </row>
    <row r="94">
      <c r="A94" s="5" t="n">
        <v>91</v>
      </c>
      <c r="B94" s="5">
        <f>WEEKDAY(Demo_Trendline!A94,2)</f>
        <v/>
      </c>
    </row>
    <row r="95">
      <c r="A95" s="5" t="n">
        <v>92</v>
      </c>
      <c r="B95" s="5">
        <f>WEEKDAY(Demo_Trendline!A95,2)</f>
        <v/>
      </c>
    </row>
    <row r="96">
      <c r="A96" s="5" t="n">
        <v>93</v>
      </c>
      <c r="B96" s="5">
        <f>WEEKDAY(Demo_Trendline!A96,2)</f>
        <v/>
      </c>
    </row>
    <row r="97">
      <c r="A97" s="5" t="n">
        <v>94</v>
      </c>
      <c r="B97" s="5">
        <f>WEEKDAY(Demo_Trendline!A97,2)</f>
        <v/>
      </c>
    </row>
    <row r="98">
      <c r="A98" s="5" t="n">
        <v>95</v>
      </c>
      <c r="B98" s="5">
        <f>WEEKDAY(Demo_Trendline!A98,2)</f>
        <v/>
      </c>
    </row>
    <row r="99">
      <c r="A99" s="5" t="n">
        <v>96</v>
      </c>
      <c r="B99" s="5">
        <f>WEEKDAY(Demo_Trendline!A99,2)</f>
        <v/>
      </c>
    </row>
    <row r="100">
      <c r="A100" s="5" t="n">
        <v>97</v>
      </c>
      <c r="B100" s="5">
        <f>WEEKDAY(Demo_Trendline!A100,2)</f>
        <v/>
      </c>
    </row>
    <row r="101">
      <c r="A101" s="5" t="n">
        <v>98</v>
      </c>
      <c r="B101" s="5">
        <f>WEEKDAY(Demo_Trendline!A101,2)</f>
        <v/>
      </c>
    </row>
    <row r="102">
      <c r="A102" s="5" t="n">
        <v>99</v>
      </c>
      <c r="B102" s="5">
        <f>WEEKDAY(Demo_Trendline!A102,2)</f>
        <v/>
      </c>
    </row>
    <row r="103">
      <c r="A103" s="5" t="n">
        <v>100</v>
      </c>
      <c r="B103" s="5">
        <f>WEEKDAY(Demo_Trendline!A103,2)</f>
        <v/>
      </c>
    </row>
    <row r="104">
      <c r="A104" s="5" t="n">
        <v>101</v>
      </c>
      <c r="B104" s="5">
        <f>WEEKDAY(Demo_Trendline!A104,2)</f>
        <v/>
      </c>
    </row>
    <row r="105">
      <c r="A105" s="5" t="n">
        <v>102</v>
      </c>
      <c r="B105" s="5">
        <f>WEEKDAY(Demo_Trendline!A105,2)</f>
        <v/>
      </c>
    </row>
    <row r="106">
      <c r="A106" s="5" t="n">
        <v>103</v>
      </c>
      <c r="B106" s="5">
        <f>WEEKDAY(Demo_Trendline!A106,2)</f>
        <v/>
      </c>
    </row>
    <row r="107">
      <c r="A107" s="5" t="n">
        <v>104</v>
      </c>
      <c r="B107" s="5">
        <f>WEEKDAY(Demo_Trendline!A107,2)</f>
        <v/>
      </c>
    </row>
    <row r="108">
      <c r="A108" s="5" t="n">
        <v>105</v>
      </c>
      <c r="B108" s="5">
        <f>WEEKDAY(Demo_Trendline!A108,2)</f>
        <v/>
      </c>
    </row>
    <row r="109">
      <c r="A109" s="5" t="n">
        <v>106</v>
      </c>
      <c r="B109" s="5">
        <f>WEEKDAY(Demo_Trendline!A109,2)</f>
        <v/>
      </c>
    </row>
    <row r="110">
      <c r="A110" s="5" t="n">
        <v>107</v>
      </c>
      <c r="B110" s="5">
        <f>WEEKDAY(Demo_Trendline!A110,2)</f>
        <v/>
      </c>
    </row>
    <row r="111">
      <c r="A111" s="5" t="n">
        <v>108</v>
      </c>
      <c r="B111" s="5">
        <f>WEEKDAY(Demo_Trendline!A111,2)</f>
        <v/>
      </c>
    </row>
    <row r="112">
      <c r="A112" s="5" t="n">
        <v>109</v>
      </c>
      <c r="B112" s="5">
        <f>WEEKDAY(Demo_Trendline!A112,2)</f>
        <v/>
      </c>
    </row>
    <row r="113">
      <c r="A113" s="5" t="n">
        <v>110</v>
      </c>
      <c r="B113" s="5">
        <f>WEEKDAY(Demo_Trendline!A113,2)</f>
        <v/>
      </c>
    </row>
    <row r="114">
      <c r="A114" s="5" t="n">
        <v>111</v>
      </c>
      <c r="B114" s="5">
        <f>WEEKDAY(Demo_Trendline!A114,2)</f>
        <v/>
      </c>
    </row>
    <row r="115">
      <c r="A115" s="5" t="n">
        <v>112</v>
      </c>
      <c r="B115" s="5">
        <f>WEEKDAY(Demo_Trendline!A115,2)</f>
        <v/>
      </c>
    </row>
    <row r="116">
      <c r="A116" s="5" t="n">
        <v>113</v>
      </c>
      <c r="B116" s="5">
        <f>WEEKDAY(Demo_Trendline!A116,2)</f>
        <v/>
      </c>
    </row>
    <row r="117">
      <c r="A117" s="5" t="n">
        <v>114</v>
      </c>
      <c r="B117" s="5">
        <f>WEEKDAY(Demo_Trendline!A117,2)</f>
        <v/>
      </c>
    </row>
    <row r="118">
      <c r="A118" s="5" t="n">
        <v>115</v>
      </c>
      <c r="B118" s="5">
        <f>WEEKDAY(Demo_Trendline!A118,2)</f>
        <v/>
      </c>
    </row>
    <row r="119">
      <c r="A119" s="5" t="n">
        <v>116</v>
      </c>
      <c r="B119" s="5">
        <f>WEEKDAY(Demo_Trendline!A119,2)</f>
        <v/>
      </c>
    </row>
    <row r="120">
      <c r="A120" s="5" t="n">
        <v>117</v>
      </c>
      <c r="B120" s="5">
        <f>WEEKDAY(Demo_Trendline!A120,2)</f>
        <v/>
      </c>
    </row>
    <row r="121">
      <c r="A121" s="5" t="n">
        <v>118</v>
      </c>
      <c r="B121" s="5">
        <f>WEEKDAY(Demo_Trendline!A121,2)</f>
        <v/>
      </c>
    </row>
    <row r="122">
      <c r="A122" s="5" t="n">
        <v>119</v>
      </c>
      <c r="B122" s="5">
        <f>WEEKDAY(Demo_Trendline!A122,2)</f>
        <v/>
      </c>
    </row>
    <row r="123">
      <c r="A123" s="5" t="n">
        <v>120</v>
      </c>
      <c r="B123" s="5">
        <f>WEEKDAY(Demo_Trendline!A123,2)</f>
        <v/>
      </c>
    </row>
    <row r="124">
      <c r="A124" s="5" t="n">
        <v>121</v>
      </c>
      <c r="B124" s="5">
        <f>WEEKDAY(Demo_Trendline!A124,2)</f>
        <v/>
      </c>
    </row>
    <row r="125">
      <c r="A125" s="5" t="n">
        <v>122</v>
      </c>
      <c r="B125" s="5">
        <f>WEEKDAY(Demo_Trendline!A125,2)</f>
        <v/>
      </c>
    </row>
    <row r="126">
      <c r="A126" s="5" t="n">
        <v>123</v>
      </c>
      <c r="B126" s="5">
        <f>WEEKDAY(Demo_Trendline!A126,2)</f>
        <v/>
      </c>
    </row>
    <row r="127">
      <c r="A127" s="5" t="n">
        <v>124</v>
      </c>
      <c r="B127" s="5">
        <f>WEEKDAY(Demo_Trendline!A127,2)</f>
        <v/>
      </c>
    </row>
    <row r="128">
      <c r="A128" s="5" t="n">
        <v>125</v>
      </c>
      <c r="B128" s="5">
        <f>WEEKDAY(Demo_Trendline!A128,2)</f>
        <v/>
      </c>
    </row>
    <row r="129">
      <c r="A129" s="5" t="n">
        <v>126</v>
      </c>
      <c r="B129" s="5">
        <f>WEEKDAY(Demo_Trendline!A129,2)</f>
        <v/>
      </c>
    </row>
    <row r="130">
      <c r="A130" s="5" t="n">
        <v>127</v>
      </c>
      <c r="B130" s="5">
        <f>WEEKDAY(Demo_Trendline!A130,2)</f>
        <v/>
      </c>
    </row>
    <row r="131">
      <c r="A131" s="5" t="n">
        <v>128</v>
      </c>
      <c r="B131" s="5">
        <f>WEEKDAY(Demo_Trendline!A131,2)</f>
        <v/>
      </c>
    </row>
    <row r="132">
      <c r="A132" s="5" t="n">
        <v>129</v>
      </c>
      <c r="B132" s="5">
        <f>WEEKDAY(Demo_Trendline!A132,2)</f>
        <v/>
      </c>
    </row>
    <row r="133">
      <c r="A133" s="5" t="n">
        <v>130</v>
      </c>
      <c r="B133" s="5">
        <f>WEEKDAY(Demo_Trendline!A133,2)</f>
        <v/>
      </c>
    </row>
    <row r="134">
      <c r="A134" s="5" t="n">
        <v>131</v>
      </c>
      <c r="B134" s="5">
        <f>WEEKDAY(Demo_Trendline!A134,2)</f>
        <v/>
      </c>
    </row>
    <row r="135">
      <c r="A135" s="5" t="n">
        <v>132</v>
      </c>
      <c r="B135" s="5">
        <f>WEEKDAY(Demo_Trendline!A135,2)</f>
        <v/>
      </c>
    </row>
    <row r="136">
      <c r="A136" s="5" t="n">
        <v>133</v>
      </c>
      <c r="B136" s="5">
        <f>WEEKDAY(Demo_Trendline!A136,2)</f>
        <v/>
      </c>
    </row>
    <row r="137">
      <c r="A137" s="5" t="n">
        <v>134</v>
      </c>
      <c r="B137" s="5">
        <f>WEEKDAY(Demo_Trendline!A137,2)</f>
        <v/>
      </c>
    </row>
    <row r="138">
      <c r="A138" s="5" t="n">
        <v>135</v>
      </c>
      <c r="B138" s="5">
        <f>WEEKDAY(Demo_Trendline!A138,2)</f>
        <v/>
      </c>
    </row>
    <row r="139">
      <c r="A139" s="5" t="n">
        <v>136</v>
      </c>
      <c r="B139" s="5">
        <f>WEEKDAY(Demo_Trendline!A139,2)</f>
        <v/>
      </c>
    </row>
    <row r="140">
      <c r="A140" s="5" t="n">
        <v>137</v>
      </c>
      <c r="B140" s="5">
        <f>WEEKDAY(Demo_Trendline!A140,2)</f>
        <v/>
      </c>
    </row>
    <row r="141">
      <c r="A141" s="5" t="n">
        <v>138</v>
      </c>
      <c r="B141" s="5">
        <f>WEEKDAY(Demo_Trendline!A141,2)</f>
        <v/>
      </c>
    </row>
    <row r="142">
      <c r="A142" s="5" t="n">
        <v>139</v>
      </c>
      <c r="B142" s="5">
        <f>WEEKDAY(Demo_Trendline!A142,2)</f>
        <v/>
      </c>
    </row>
    <row r="143">
      <c r="A143" s="5" t="n">
        <v>140</v>
      </c>
      <c r="B143" s="5">
        <f>WEEKDAY(Demo_Trendline!A143,2)</f>
        <v/>
      </c>
    </row>
    <row r="144">
      <c r="A144" s="5" t="n">
        <v>141</v>
      </c>
      <c r="B144" s="5">
        <f>WEEKDAY(Demo_Trendline!A144,2)</f>
        <v/>
      </c>
    </row>
    <row r="145">
      <c r="A145" s="5" t="n">
        <v>142</v>
      </c>
      <c r="B145" s="5">
        <f>WEEKDAY(Demo_Trendline!A145,2)</f>
        <v/>
      </c>
    </row>
    <row r="146">
      <c r="A146" s="5" t="n">
        <v>143</v>
      </c>
      <c r="B146" s="5">
        <f>WEEKDAY(Demo_Trendline!A146,2)</f>
        <v/>
      </c>
    </row>
    <row r="147">
      <c r="A147" s="5" t="n">
        <v>144</v>
      </c>
      <c r="B147" s="5">
        <f>WEEKDAY(Demo_Trendline!A147,2)</f>
        <v/>
      </c>
    </row>
    <row r="148">
      <c r="A148" s="5" t="n">
        <v>145</v>
      </c>
      <c r="B148" s="5">
        <f>WEEKDAY(Demo_Trendline!A148,2)</f>
        <v/>
      </c>
    </row>
    <row r="149">
      <c r="A149" s="5" t="n">
        <v>146</v>
      </c>
      <c r="B149" s="5">
        <f>WEEKDAY(Demo_Trendline!A149,2)</f>
        <v/>
      </c>
    </row>
    <row r="150">
      <c r="A150" s="5" t="n">
        <v>147</v>
      </c>
      <c r="B150" s="5">
        <f>WEEKDAY(Demo_Trendline!A150,2)</f>
        <v/>
      </c>
    </row>
    <row r="151">
      <c r="A151" s="5" t="n">
        <v>148</v>
      </c>
      <c r="B151" s="5">
        <f>WEEKDAY(Demo_Trendline!A151,2)</f>
        <v/>
      </c>
    </row>
    <row r="152">
      <c r="A152" s="5" t="n">
        <v>149</v>
      </c>
      <c r="B152" s="5">
        <f>WEEKDAY(Demo_Trendline!A152,2)</f>
        <v/>
      </c>
    </row>
    <row r="153">
      <c r="A153" s="5" t="n">
        <v>150</v>
      </c>
      <c r="B153" s="5">
        <f>WEEKDAY(Demo_Trendline!A153,2)</f>
        <v/>
      </c>
    </row>
    <row r="154">
      <c r="A154" s="5" t="n">
        <v>151</v>
      </c>
      <c r="B154" s="5">
        <f>WEEKDAY(Demo_Trendline!A154,2)</f>
        <v/>
      </c>
    </row>
    <row r="155">
      <c r="A155" s="5" t="n">
        <v>152</v>
      </c>
      <c r="B155" s="5">
        <f>WEEKDAY(Demo_Trendline!A155,2)</f>
        <v/>
      </c>
    </row>
    <row r="156">
      <c r="A156" s="5" t="n">
        <v>153</v>
      </c>
      <c r="B156" s="5">
        <f>WEEKDAY(Demo_Trendline!A156,2)</f>
        <v/>
      </c>
    </row>
    <row r="157">
      <c r="A157" s="5" t="n">
        <v>154</v>
      </c>
      <c r="B157" s="5">
        <f>WEEKDAY(Demo_Trendline!A157,2)</f>
        <v/>
      </c>
    </row>
    <row r="158">
      <c r="A158" s="5" t="n">
        <v>155</v>
      </c>
      <c r="B158" s="5">
        <f>WEEKDAY(Demo_Trendline!A158,2)</f>
        <v/>
      </c>
    </row>
    <row r="159">
      <c r="A159" s="5" t="n">
        <v>156</v>
      </c>
      <c r="B159" s="5">
        <f>WEEKDAY(Demo_Trendline!A159,2)</f>
        <v/>
      </c>
    </row>
    <row r="160">
      <c r="A160" s="5" t="n">
        <v>157</v>
      </c>
      <c r="B160" s="5">
        <f>WEEKDAY(Demo_Trendline!A160,2)</f>
        <v/>
      </c>
    </row>
    <row r="161">
      <c r="A161" s="5" t="n">
        <v>158</v>
      </c>
      <c r="B161" s="5">
        <f>WEEKDAY(Demo_Trendline!A161,2)</f>
        <v/>
      </c>
    </row>
    <row r="162">
      <c r="A162" s="5" t="n">
        <v>159</v>
      </c>
      <c r="B162" s="5">
        <f>WEEKDAY(Demo_Trendline!A162,2)</f>
        <v/>
      </c>
    </row>
    <row r="163">
      <c r="A163" s="5" t="n">
        <v>160</v>
      </c>
      <c r="B163" s="5">
        <f>WEEKDAY(Demo_Trendline!A163,2)</f>
        <v/>
      </c>
    </row>
    <row r="164">
      <c r="A164" s="5" t="n">
        <v>161</v>
      </c>
      <c r="B164" s="5">
        <f>WEEKDAY(Demo_Trendline!A164,2)</f>
        <v/>
      </c>
    </row>
    <row r="165">
      <c r="A165" s="5" t="n">
        <v>162</v>
      </c>
      <c r="B165" s="5">
        <f>WEEKDAY(Demo_Trendline!A165,2)</f>
        <v/>
      </c>
    </row>
    <row r="166">
      <c r="A166" s="5" t="n">
        <v>163</v>
      </c>
      <c r="B166" s="5">
        <f>WEEKDAY(Demo_Trendline!A166,2)</f>
        <v/>
      </c>
    </row>
    <row r="167">
      <c r="A167" s="5" t="n">
        <v>164</v>
      </c>
      <c r="B167" s="5">
        <f>WEEKDAY(Demo_Trendline!A167,2)</f>
        <v/>
      </c>
    </row>
    <row r="168">
      <c r="A168" s="5" t="n">
        <v>165</v>
      </c>
      <c r="B168" s="5">
        <f>WEEKDAY(Demo_Trendline!A168,2)</f>
        <v/>
      </c>
    </row>
    <row r="169">
      <c r="A169" s="5" t="n">
        <v>166</v>
      </c>
      <c r="B169" s="5">
        <f>WEEKDAY(Demo_Trendline!A169,2)</f>
        <v/>
      </c>
    </row>
    <row r="170">
      <c r="A170" s="5" t="n">
        <v>167</v>
      </c>
      <c r="B170" s="5">
        <f>WEEKDAY(Demo_Trendline!A170,2)</f>
        <v/>
      </c>
    </row>
    <row r="171">
      <c r="A171" s="5" t="n">
        <v>168</v>
      </c>
      <c r="B171" s="5">
        <f>WEEKDAY(Demo_Trendline!A171,2)</f>
        <v/>
      </c>
    </row>
    <row r="172">
      <c r="A172" s="5" t="n">
        <v>169</v>
      </c>
      <c r="B172" s="5">
        <f>WEEKDAY(Demo_Trendline!A172,2)</f>
        <v/>
      </c>
    </row>
    <row r="173">
      <c r="A173" s="5" t="n">
        <v>170</v>
      </c>
      <c r="B173" s="5">
        <f>WEEKDAY(Demo_Trendline!A173,2)</f>
        <v/>
      </c>
    </row>
    <row r="174">
      <c r="A174" s="5" t="n">
        <v>171</v>
      </c>
      <c r="B174" s="5">
        <f>WEEKDAY(Demo_Trendline!A174,2)</f>
        <v/>
      </c>
    </row>
    <row r="175">
      <c r="A175" s="5" t="n">
        <v>172</v>
      </c>
      <c r="B175" s="5">
        <f>WEEKDAY(Demo_Trendline!A175,2)</f>
        <v/>
      </c>
    </row>
    <row r="176">
      <c r="A176" s="5" t="n">
        <v>173</v>
      </c>
      <c r="B176" s="5">
        <f>WEEKDAY(Demo_Trendline!A176,2)</f>
        <v/>
      </c>
    </row>
    <row r="177">
      <c r="A177" s="5" t="n">
        <v>174</v>
      </c>
      <c r="B177" s="5">
        <f>WEEKDAY(Demo_Trendline!A177,2)</f>
        <v/>
      </c>
    </row>
    <row r="178">
      <c r="A178" s="5" t="n">
        <v>175</v>
      </c>
      <c r="B178" s="5">
        <f>WEEKDAY(Demo_Trendline!A178,2)</f>
        <v/>
      </c>
    </row>
    <row r="179">
      <c r="A179" s="5" t="n">
        <v>176</v>
      </c>
      <c r="B179" s="5">
        <f>WEEKDAY(Demo_Trendline!A179,2)</f>
        <v/>
      </c>
    </row>
    <row r="180">
      <c r="A180" s="5" t="n">
        <v>177</v>
      </c>
      <c r="B180" s="5">
        <f>WEEKDAY(Demo_Trendline!A180,2)</f>
        <v/>
      </c>
    </row>
    <row r="181">
      <c r="A181" s="5" t="n">
        <v>178</v>
      </c>
      <c r="B181" s="5">
        <f>WEEKDAY(Demo_Trendline!A181,2)</f>
        <v/>
      </c>
    </row>
    <row r="182">
      <c r="A182" s="5" t="n">
        <v>179</v>
      </c>
      <c r="B182" s="5">
        <f>WEEKDAY(Demo_Trendline!A182,2)</f>
        <v/>
      </c>
    </row>
    <row r="183">
      <c r="A183" s="5" t="n">
        <v>180</v>
      </c>
      <c r="B183" s="5">
        <f>WEEKDAY(Demo_Trendline!A183,2)</f>
        <v/>
      </c>
    </row>
    <row r="184">
      <c r="A184" s="5" t="n">
        <v>181</v>
      </c>
      <c r="B184" s="5">
        <f>WEEKDAY(Demo_Trendline!A184,2)</f>
        <v/>
      </c>
    </row>
    <row r="185">
      <c r="A185" s="5" t="n">
        <v>182</v>
      </c>
      <c r="B185" s="5">
        <f>WEEKDAY(Demo_Trendline!A185,2)</f>
        <v/>
      </c>
    </row>
    <row r="186">
      <c r="A186" s="5" t="n">
        <v>183</v>
      </c>
      <c r="B186" s="5">
        <f>WEEKDAY(Demo_Trendline!A186,2)</f>
        <v/>
      </c>
    </row>
    <row r="187">
      <c r="A187" s="5" t="n">
        <v>184</v>
      </c>
      <c r="B187" s="5">
        <f>WEEKDAY(Demo_Trendline!A187,2)</f>
        <v/>
      </c>
    </row>
    <row r="188">
      <c r="A188" s="5" t="n">
        <v>185</v>
      </c>
      <c r="B188" s="5">
        <f>WEEKDAY(Demo_Trendline!A188,2)</f>
        <v/>
      </c>
    </row>
    <row r="189">
      <c r="A189" s="5" t="n">
        <v>186</v>
      </c>
      <c r="B189" s="5">
        <f>WEEKDAY(Demo_Trendline!A189,2)</f>
        <v/>
      </c>
    </row>
    <row r="190">
      <c r="A190" s="5" t="n">
        <v>187</v>
      </c>
      <c r="B190" s="5">
        <f>WEEKDAY(Demo_Trendline!A190,2)</f>
        <v/>
      </c>
    </row>
    <row r="191">
      <c r="A191" s="5" t="n">
        <v>188</v>
      </c>
      <c r="B191" s="5">
        <f>WEEKDAY(Demo_Trendline!A191,2)</f>
        <v/>
      </c>
    </row>
    <row r="192">
      <c r="A192" s="5" t="n">
        <v>189</v>
      </c>
      <c r="B192" s="5">
        <f>WEEKDAY(Demo_Trendline!A192,2)</f>
        <v/>
      </c>
    </row>
    <row r="193">
      <c r="A193" s="5" t="n">
        <v>190</v>
      </c>
      <c r="B193" s="5">
        <f>WEEKDAY(Demo_Trendline!A193,2)</f>
        <v/>
      </c>
    </row>
    <row r="194">
      <c r="A194" s="5" t="n">
        <v>191</v>
      </c>
      <c r="B194" s="5">
        <f>WEEKDAY(Demo_Trendline!A194,2)</f>
        <v/>
      </c>
    </row>
    <row r="195">
      <c r="A195" s="5" t="n">
        <v>192</v>
      </c>
      <c r="B195" s="5">
        <f>WEEKDAY(Demo_Trendline!A195,2)</f>
        <v/>
      </c>
    </row>
    <row r="196">
      <c r="A196" s="5" t="n">
        <v>193</v>
      </c>
      <c r="B196" s="5">
        <f>WEEKDAY(Demo_Trendline!A196,2)</f>
        <v/>
      </c>
    </row>
    <row r="197">
      <c r="A197" s="5" t="n">
        <v>194</v>
      </c>
      <c r="B197" s="5">
        <f>WEEKDAY(Demo_Trendline!A197,2)</f>
        <v/>
      </c>
    </row>
    <row r="198">
      <c r="A198" s="5" t="n">
        <v>195</v>
      </c>
      <c r="B198" s="5">
        <f>WEEKDAY(Demo_Trendline!A198,2)</f>
        <v/>
      </c>
    </row>
    <row r="199">
      <c r="A199" s="5" t="n">
        <v>196</v>
      </c>
      <c r="B199" s="5">
        <f>WEEKDAY(Demo_Trendline!A199,2)</f>
        <v/>
      </c>
    </row>
    <row r="200">
      <c r="A200" s="5" t="n">
        <v>197</v>
      </c>
      <c r="B200" s="5">
        <f>WEEKDAY(Demo_Trendline!A200,2)</f>
        <v/>
      </c>
    </row>
    <row r="201">
      <c r="A201" s="5" t="n">
        <v>198</v>
      </c>
      <c r="B201" s="5">
        <f>WEEKDAY(Demo_Trendline!A201,2)</f>
        <v/>
      </c>
    </row>
    <row r="202">
      <c r="A202" s="5" t="n">
        <v>199</v>
      </c>
      <c r="B202" s="5">
        <f>WEEKDAY(Demo_Trendline!A202,2)</f>
        <v/>
      </c>
    </row>
    <row r="203">
      <c r="A203" s="5" t="n">
        <v>200</v>
      </c>
      <c r="B203" s="5">
        <f>WEEKDAY(Demo_Trendline!A203,2)</f>
        <v/>
      </c>
    </row>
    <row r="204">
      <c r="A204" s="5" t="n">
        <v>201</v>
      </c>
      <c r="B204" s="5">
        <f>WEEKDAY(Demo_Trendline!A204,2)</f>
        <v/>
      </c>
    </row>
    <row r="205">
      <c r="A205" s="5" t="n">
        <v>202</v>
      </c>
      <c r="B205" s="5">
        <f>WEEKDAY(Demo_Trendline!A205,2)</f>
        <v/>
      </c>
    </row>
    <row r="206">
      <c r="A206" s="5" t="n">
        <v>203</v>
      </c>
      <c r="B206" s="5">
        <f>WEEKDAY(Demo_Trendline!A206,2)</f>
        <v/>
      </c>
    </row>
    <row r="207">
      <c r="A207" s="5" t="n">
        <v>204</v>
      </c>
      <c r="B207" s="5">
        <f>WEEKDAY(Demo_Trendline!A207,2)</f>
        <v/>
      </c>
    </row>
    <row r="208">
      <c r="A208" s="5" t="n">
        <v>205</v>
      </c>
      <c r="B208" s="5">
        <f>WEEKDAY(Demo_Trendline!A208,2)</f>
        <v/>
      </c>
    </row>
    <row r="209">
      <c r="A209" s="5" t="n">
        <v>206</v>
      </c>
      <c r="B209" s="5">
        <f>WEEKDAY(Demo_Trendline!A209,2)</f>
        <v/>
      </c>
    </row>
    <row r="210">
      <c r="A210" s="5" t="n">
        <v>207</v>
      </c>
      <c r="B210" s="5">
        <f>WEEKDAY(Demo_Trendline!A210,2)</f>
        <v/>
      </c>
    </row>
    <row r="211">
      <c r="A211" s="5" t="n">
        <v>208</v>
      </c>
      <c r="B211" s="5">
        <f>WEEKDAY(Demo_Trendline!A211,2)</f>
        <v/>
      </c>
    </row>
    <row r="212">
      <c r="A212" s="5" t="n">
        <v>209</v>
      </c>
      <c r="B212" s="5">
        <f>WEEKDAY(Demo_Trendline!A212,2)</f>
        <v/>
      </c>
    </row>
    <row r="213">
      <c r="A213" s="5" t="n">
        <v>210</v>
      </c>
      <c r="B213" s="5">
        <f>WEEKDAY(Demo_Trendline!A213,2)</f>
        <v/>
      </c>
    </row>
    <row r="214">
      <c r="A214" s="5" t="n">
        <v>211</v>
      </c>
      <c r="B214" s="5">
        <f>WEEKDAY(Demo_Trendline!A214,2)</f>
        <v/>
      </c>
    </row>
    <row r="215">
      <c r="A215" s="5" t="n">
        <v>212</v>
      </c>
      <c r="B215" s="5">
        <f>WEEKDAY(Demo_Trendline!A215,2)</f>
        <v/>
      </c>
    </row>
    <row r="216">
      <c r="A216" s="5" t="n">
        <v>213</v>
      </c>
      <c r="B216" s="5">
        <f>WEEKDAY(Demo_Trendline!A216,2)</f>
        <v/>
      </c>
    </row>
    <row r="217">
      <c r="A217" s="5" t="n">
        <v>214</v>
      </c>
      <c r="B217" s="5">
        <f>WEEKDAY(Demo_Trendline!A217,2)</f>
        <v/>
      </c>
    </row>
    <row r="218">
      <c r="A218" s="5" t="n">
        <v>215</v>
      </c>
      <c r="B218" s="5">
        <f>WEEKDAY(Demo_Trendline!A218,2)</f>
        <v/>
      </c>
    </row>
    <row r="219">
      <c r="A219" s="5" t="n">
        <v>216</v>
      </c>
      <c r="B219" s="5">
        <f>WEEKDAY(Demo_Trendline!A219,2)</f>
        <v/>
      </c>
    </row>
    <row r="220">
      <c r="A220" s="5" t="n">
        <v>217</v>
      </c>
      <c r="B220" s="5">
        <f>WEEKDAY(Demo_Trendline!A220,2)</f>
        <v/>
      </c>
    </row>
    <row r="221">
      <c r="A221" s="5" t="n">
        <v>218</v>
      </c>
      <c r="B221" s="5">
        <f>WEEKDAY(Demo_Trendline!A221,2)</f>
        <v/>
      </c>
    </row>
    <row r="222">
      <c r="A222" s="5" t="n">
        <v>219</v>
      </c>
      <c r="B222" s="5">
        <f>WEEKDAY(Demo_Trendline!A222,2)</f>
        <v/>
      </c>
    </row>
    <row r="223">
      <c r="A223" s="5" t="n">
        <v>220</v>
      </c>
      <c r="B223" s="5">
        <f>WEEKDAY(Demo_Trendline!A223,2)</f>
        <v/>
      </c>
    </row>
    <row r="224">
      <c r="A224" s="5" t="n">
        <v>221</v>
      </c>
      <c r="B224" s="5">
        <f>WEEKDAY(Demo_Trendline!A224,2)</f>
        <v/>
      </c>
    </row>
    <row r="225">
      <c r="A225" s="5" t="n">
        <v>222</v>
      </c>
      <c r="B225" s="5">
        <f>WEEKDAY(Demo_Trendline!A225,2)</f>
        <v/>
      </c>
    </row>
    <row r="226">
      <c r="A226" s="5" t="n">
        <v>223</v>
      </c>
      <c r="B226" s="5">
        <f>WEEKDAY(Demo_Trendline!A226,2)</f>
        <v/>
      </c>
    </row>
    <row r="227">
      <c r="A227" s="5" t="n">
        <v>224</v>
      </c>
      <c r="B227" s="5">
        <f>WEEKDAY(Demo_Trendline!A227,2)</f>
        <v/>
      </c>
    </row>
    <row r="228">
      <c r="A228" s="5" t="n">
        <v>225</v>
      </c>
      <c r="B228" s="5">
        <f>WEEKDAY(Demo_Trendline!A228,2)</f>
        <v/>
      </c>
    </row>
    <row r="229">
      <c r="A229" s="5" t="n">
        <v>226</v>
      </c>
      <c r="B229" s="5">
        <f>WEEKDAY(Demo_Trendline!A229,2)</f>
        <v/>
      </c>
    </row>
    <row r="230">
      <c r="A230" s="5" t="n">
        <v>227</v>
      </c>
      <c r="B230" s="5">
        <f>WEEKDAY(Demo_Trendline!A230,2)</f>
        <v/>
      </c>
    </row>
    <row r="231">
      <c r="A231" s="5" t="n">
        <v>228</v>
      </c>
      <c r="B231" s="5">
        <f>WEEKDAY(Demo_Trendline!A231,2)</f>
        <v/>
      </c>
    </row>
    <row r="232">
      <c r="A232" s="5" t="n">
        <v>229</v>
      </c>
      <c r="B232" s="5">
        <f>WEEKDAY(Demo_Trendline!A232,2)</f>
        <v/>
      </c>
    </row>
    <row r="233">
      <c r="A233" s="5" t="n">
        <v>230</v>
      </c>
      <c r="B233" s="5">
        <f>WEEKDAY(Demo_Trendline!A233,2)</f>
        <v/>
      </c>
    </row>
    <row r="234">
      <c r="A234" s="5" t="n">
        <v>231</v>
      </c>
      <c r="B234" s="5">
        <f>WEEKDAY(Demo_Trendline!A234,2)</f>
        <v/>
      </c>
    </row>
    <row r="235">
      <c r="A235" s="5" t="n">
        <v>232</v>
      </c>
      <c r="B235" s="5">
        <f>WEEKDAY(Demo_Trendline!A235,2)</f>
        <v/>
      </c>
    </row>
    <row r="236">
      <c r="A236" s="5" t="n">
        <v>233</v>
      </c>
      <c r="B236" s="5">
        <f>WEEKDAY(Demo_Trendline!A236,2)</f>
        <v/>
      </c>
    </row>
    <row r="237">
      <c r="A237" s="5" t="n">
        <v>234</v>
      </c>
      <c r="B237" s="5">
        <f>WEEKDAY(Demo_Trendline!A237,2)</f>
        <v/>
      </c>
    </row>
    <row r="238">
      <c r="A238" s="5" t="n">
        <v>235</v>
      </c>
      <c r="B238" s="5">
        <f>WEEKDAY(Demo_Trendline!A238,2)</f>
        <v/>
      </c>
    </row>
    <row r="239">
      <c r="A239" s="5" t="n">
        <v>236</v>
      </c>
      <c r="B239" s="5">
        <f>WEEKDAY(Demo_Trendline!A239,2)</f>
        <v/>
      </c>
    </row>
    <row r="240">
      <c r="A240" s="5" t="n">
        <v>237</v>
      </c>
      <c r="B240" s="5">
        <f>WEEKDAY(Demo_Trendline!A240,2)</f>
        <v/>
      </c>
    </row>
    <row r="241">
      <c r="A241" s="5" t="n">
        <v>238</v>
      </c>
      <c r="B241" s="5">
        <f>WEEKDAY(Demo_Trendline!A241,2)</f>
        <v/>
      </c>
    </row>
    <row r="242">
      <c r="A242" s="5" t="n">
        <v>239</v>
      </c>
      <c r="B242" s="5">
        <f>WEEKDAY(Demo_Trendline!A242,2)</f>
        <v/>
      </c>
    </row>
    <row r="243">
      <c r="A243" s="5" t="n">
        <v>240</v>
      </c>
      <c r="B243" s="5">
        <f>WEEKDAY(Demo_Trendline!A243,2)</f>
        <v/>
      </c>
    </row>
    <row r="244">
      <c r="A244" s="5" t="n">
        <v>241</v>
      </c>
      <c r="B244" s="5">
        <f>WEEKDAY(Demo_Trendline!A244,2)</f>
        <v/>
      </c>
    </row>
    <row r="245">
      <c r="A245" s="5" t="n">
        <v>242</v>
      </c>
      <c r="B245" s="5">
        <f>WEEKDAY(Demo_Trendline!A245,2)</f>
        <v/>
      </c>
    </row>
    <row r="246">
      <c r="A246" s="5" t="n">
        <v>243</v>
      </c>
      <c r="B246" s="5">
        <f>WEEKDAY(Demo_Trendline!A246,2)</f>
        <v/>
      </c>
    </row>
    <row r="247">
      <c r="A247" s="5" t="n">
        <v>244</v>
      </c>
      <c r="B247" s="5">
        <f>WEEKDAY(Demo_Trendline!A247,2)</f>
        <v/>
      </c>
    </row>
    <row r="248">
      <c r="A248" s="5" t="n">
        <v>245</v>
      </c>
      <c r="B248" s="5">
        <f>WEEKDAY(Demo_Trendline!A248,2)</f>
        <v/>
      </c>
    </row>
    <row r="249">
      <c r="A249" s="5" t="n">
        <v>246</v>
      </c>
      <c r="B249" s="5">
        <f>WEEKDAY(Demo_Trendline!A249,2)</f>
        <v/>
      </c>
    </row>
    <row r="250">
      <c r="A250" s="5" t="n">
        <v>247</v>
      </c>
      <c r="B250" s="5">
        <f>WEEKDAY(Demo_Trendline!A250,2)</f>
        <v/>
      </c>
    </row>
    <row r="251">
      <c r="A251" s="5" t="n">
        <v>248</v>
      </c>
      <c r="B251" s="5">
        <f>WEEKDAY(Demo_Trendline!A251,2)</f>
        <v/>
      </c>
    </row>
    <row r="252">
      <c r="A252" s="5" t="n">
        <v>249</v>
      </c>
      <c r="B252" s="5">
        <f>WEEKDAY(Demo_Trendline!A252,2)</f>
        <v/>
      </c>
    </row>
    <row r="253">
      <c r="A253" s="5" t="n">
        <v>250</v>
      </c>
      <c r="B253" s="5">
        <f>WEEKDAY(Demo_Trendline!A253,2)</f>
        <v/>
      </c>
    </row>
    <row r="254">
      <c r="A254" s="5" t="n">
        <v>251</v>
      </c>
      <c r="B254" s="5">
        <f>WEEKDAY(Demo_Trendline!A254,2)</f>
        <v/>
      </c>
    </row>
    <row r="255">
      <c r="A255" s="5" t="n">
        <v>252</v>
      </c>
      <c r="B255" s="5">
        <f>WEEKDAY(Demo_Trendline!A255,2)</f>
        <v/>
      </c>
    </row>
    <row r="256">
      <c r="A256" s="5" t="n">
        <v>253</v>
      </c>
      <c r="B256" s="5">
        <f>WEEKDAY(Demo_Trendline!A256,2)</f>
        <v/>
      </c>
    </row>
    <row r="257">
      <c r="A257" s="5" t="n">
        <v>254</v>
      </c>
      <c r="B257" s="5">
        <f>WEEKDAY(Demo_Trendline!A257,2)</f>
        <v/>
      </c>
    </row>
    <row r="258">
      <c r="A258" s="5" t="n">
        <v>255</v>
      </c>
      <c r="B258" s="5">
        <f>WEEKDAY(Demo_Trendline!A258,2)</f>
        <v/>
      </c>
    </row>
    <row r="259">
      <c r="A259" s="5" t="n">
        <v>256</v>
      </c>
      <c r="B259" s="5">
        <f>WEEKDAY(Demo_Trendline!A259,2)</f>
        <v/>
      </c>
    </row>
    <row r="260">
      <c r="A260" s="5" t="n">
        <v>257</v>
      </c>
      <c r="B260" s="5">
        <f>WEEKDAY(Demo_Trendline!A260,2)</f>
        <v/>
      </c>
    </row>
    <row r="261">
      <c r="A261" s="5" t="n">
        <v>258</v>
      </c>
      <c r="B261" s="5">
        <f>WEEKDAY(Demo_Trendline!A261,2)</f>
        <v/>
      </c>
    </row>
    <row r="262">
      <c r="A262" s="5" t="n">
        <v>259</v>
      </c>
      <c r="B262" s="5">
        <f>WEEKDAY(Demo_Trendline!A262,2)</f>
        <v/>
      </c>
    </row>
    <row r="263">
      <c r="A263" s="5" t="n">
        <v>260</v>
      </c>
      <c r="B263" s="5">
        <f>WEEKDAY(Demo_Trendline!A263,2)</f>
        <v/>
      </c>
    </row>
    <row r="264">
      <c r="A264" s="5" t="n">
        <v>261</v>
      </c>
      <c r="B264" s="5">
        <f>WEEKDAY(Demo_Trendline!A264,2)</f>
        <v/>
      </c>
    </row>
    <row r="265">
      <c r="A265" s="5" t="n">
        <v>262</v>
      </c>
      <c r="B265" s="5">
        <f>WEEKDAY(Demo_Trendline!A265,2)</f>
        <v/>
      </c>
    </row>
    <row r="266">
      <c r="A266" s="5" t="n">
        <v>263</v>
      </c>
      <c r="B266" s="5">
        <f>WEEKDAY(Demo_Trendline!A266,2)</f>
        <v/>
      </c>
    </row>
    <row r="267">
      <c r="A267" s="5" t="n">
        <v>264</v>
      </c>
      <c r="B267" s="5">
        <f>WEEKDAY(Demo_Trendline!A267,2)</f>
        <v/>
      </c>
    </row>
    <row r="268">
      <c r="A268" s="5" t="n">
        <v>265</v>
      </c>
      <c r="B268" s="5">
        <f>WEEKDAY(Demo_Trendline!A268,2)</f>
        <v/>
      </c>
    </row>
    <row r="269">
      <c r="A269" s="5" t="n">
        <v>266</v>
      </c>
      <c r="B269" s="5">
        <f>WEEKDAY(Demo_Trendline!A269,2)</f>
        <v/>
      </c>
    </row>
    <row r="270">
      <c r="A270" s="5" t="n">
        <v>267</v>
      </c>
      <c r="B270" s="5">
        <f>WEEKDAY(Demo_Trendline!A270,2)</f>
        <v/>
      </c>
    </row>
    <row r="271">
      <c r="A271" s="5" t="n">
        <v>268</v>
      </c>
      <c r="B271" s="5">
        <f>WEEKDAY(Demo_Trendline!A271,2)</f>
        <v/>
      </c>
    </row>
    <row r="272">
      <c r="A272" s="5" t="n">
        <v>269</v>
      </c>
      <c r="B272" s="5">
        <f>WEEKDAY(Demo_Trendline!A272,2)</f>
        <v/>
      </c>
    </row>
    <row r="273">
      <c r="A273" s="5" t="n">
        <v>270</v>
      </c>
      <c r="B273" s="5">
        <f>WEEKDAY(Demo_Trendline!A273,2)</f>
        <v/>
      </c>
    </row>
    <row r="274">
      <c r="A274" s="5" t="n">
        <v>271</v>
      </c>
      <c r="B274" s="5">
        <f>WEEKDAY(Demo_Trendline!A274,2)</f>
        <v/>
      </c>
    </row>
    <row r="275">
      <c r="A275" s="5" t="n">
        <v>272</v>
      </c>
      <c r="B275" s="5">
        <f>WEEKDAY(Demo_Trendline!A275,2)</f>
        <v/>
      </c>
    </row>
    <row r="276">
      <c r="A276" s="5" t="n">
        <v>273</v>
      </c>
      <c r="B276" s="5">
        <f>WEEKDAY(Demo_Trendline!A276,2)</f>
        <v/>
      </c>
    </row>
    <row r="277">
      <c r="A277" s="5" t="n">
        <v>274</v>
      </c>
      <c r="B277" s="5">
        <f>WEEKDAY(Demo_Trendline!A277,2)</f>
        <v/>
      </c>
    </row>
    <row r="278">
      <c r="A278" s="5" t="n">
        <v>275</v>
      </c>
      <c r="B278" s="5">
        <f>WEEKDAY(Demo_Trendline!A278,2)</f>
        <v/>
      </c>
    </row>
    <row r="279">
      <c r="A279" s="5" t="n">
        <v>276</v>
      </c>
      <c r="B279" s="5">
        <f>WEEKDAY(Demo_Trendline!A279,2)</f>
        <v/>
      </c>
    </row>
    <row r="280">
      <c r="A280" s="5" t="n">
        <v>277</v>
      </c>
      <c r="B280" s="5">
        <f>WEEKDAY(Demo_Trendline!A280,2)</f>
        <v/>
      </c>
    </row>
    <row r="281">
      <c r="A281" s="5" t="n">
        <v>278</v>
      </c>
      <c r="B281" s="5">
        <f>WEEKDAY(Demo_Trendline!A281,2)</f>
        <v/>
      </c>
    </row>
    <row r="282">
      <c r="A282" s="5" t="n">
        <v>279</v>
      </c>
      <c r="B282" s="5">
        <f>WEEKDAY(Demo_Trendline!A282,2)</f>
        <v/>
      </c>
    </row>
    <row r="283">
      <c r="A283" s="5" t="n">
        <v>280</v>
      </c>
      <c r="B283" s="5">
        <f>WEEKDAY(Demo_Trendline!A283,2)</f>
        <v/>
      </c>
    </row>
    <row r="284">
      <c r="A284" s="5" t="n">
        <v>281</v>
      </c>
      <c r="B284" s="5">
        <f>WEEKDAY(Demo_Trendline!A284,2)</f>
        <v/>
      </c>
    </row>
    <row r="285">
      <c r="A285" s="5" t="n">
        <v>282</v>
      </c>
      <c r="B285" s="5">
        <f>WEEKDAY(Demo_Trendline!A285,2)</f>
        <v/>
      </c>
    </row>
    <row r="286">
      <c r="A286" s="5" t="n">
        <v>283</v>
      </c>
      <c r="B286" s="5">
        <f>WEEKDAY(Demo_Trendline!A286,2)</f>
        <v/>
      </c>
    </row>
    <row r="287">
      <c r="A287" s="5" t="n">
        <v>284</v>
      </c>
      <c r="B287" s="5">
        <f>WEEKDAY(Demo_Trendline!A287,2)</f>
        <v/>
      </c>
    </row>
    <row r="288">
      <c r="A288" s="5" t="n">
        <v>285</v>
      </c>
      <c r="B288" s="5">
        <f>WEEKDAY(Demo_Trendline!A288,2)</f>
        <v/>
      </c>
    </row>
    <row r="289">
      <c r="A289" s="5" t="n">
        <v>286</v>
      </c>
      <c r="B289" s="5">
        <f>WEEKDAY(Demo_Trendline!A289,2)</f>
        <v/>
      </c>
    </row>
    <row r="290">
      <c r="A290" s="5" t="n">
        <v>287</v>
      </c>
      <c r="B290" s="5">
        <f>WEEKDAY(Demo_Trendline!A290,2)</f>
        <v/>
      </c>
    </row>
    <row r="291">
      <c r="A291" s="5" t="n">
        <v>288</v>
      </c>
      <c r="B291" s="5">
        <f>WEEKDAY(Demo_Trendline!A291,2)</f>
        <v/>
      </c>
    </row>
    <row r="292">
      <c r="A292" s="5" t="n">
        <v>289</v>
      </c>
      <c r="B292" s="5">
        <f>WEEKDAY(Demo_Trendline!A292,2)</f>
        <v/>
      </c>
    </row>
    <row r="293">
      <c r="A293" s="5" t="n">
        <v>290</v>
      </c>
      <c r="B293" s="5">
        <f>WEEKDAY(Demo_Trendline!A293,2)</f>
        <v/>
      </c>
    </row>
    <row r="294">
      <c r="A294" s="5" t="n">
        <v>291</v>
      </c>
      <c r="B294" s="5">
        <f>WEEKDAY(Demo_Trendline!A294,2)</f>
        <v/>
      </c>
    </row>
    <row r="295">
      <c r="A295" s="5" t="n">
        <v>292</v>
      </c>
      <c r="B295" s="5">
        <f>WEEKDAY(Demo_Trendline!A295,2)</f>
        <v/>
      </c>
    </row>
    <row r="296">
      <c r="A296" s="5" t="n">
        <v>293</v>
      </c>
      <c r="B296" s="5">
        <f>WEEKDAY(Demo_Trendline!A296,2)</f>
        <v/>
      </c>
    </row>
    <row r="297">
      <c r="A297" s="5" t="n">
        <v>294</v>
      </c>
      <c r="B297" s="5">
        <f>WEEKDAY(Demo_Trendline!A297,2)</f>
        <v/>
      </c>
    </row>
    <row r="298">
      <c r="A298" s="5" t="n">
        <v>295</v>
      </c>
      <c r="B298" s="5">
        <f>WEEKDAY(Demo_Trendline!A298,2)</f>
        <v/>
      </c>
    </row>
    <row r="299">
      <c r="A299" s="5" t="n">
        <v>296</v>
      </c>
      <c r="B299" s="5">
        <f>WEEKDAY(Demo_Trendline!A299,2)</f>
        <v/>
      </c>
    </row>
    <row r="300">
      <c r="A300" s="5" t="n">
        <v>297</v>
      </c>
      <c r="B300" s="5">
        <f>WEEKDAY(Demo_Trendline!A300,2)</f>
        <v/>
      </c>
    </row>
    <row r="301">
      <c r="A301" s="5" t="n">
        <v>298</v>
      </c>
      <c r="B301" s="5">
        <f>WEEKDAY(Demo_Trendline!A301,2)</f>
        <v/>
      </c>
    </row>
    <row r="302">
      <c r="A302" s="5" t="n">
        <v>299</v>
      </c>
      <c r="B302" s="5">
        <f>WEEKDAY(Demo_Trendline!A302,2)</f>
        <v/>
      </c>
    </row>
    <row r="303">
      <c r="A303" s="5" t="n">
        <v>300</v>
      </c>
      <c r="B303" s="5">
        <f>WEEKDAY(Demo_Trendline!A303,2)</f>
        <v/>
      </c>
    </row>
    <row r="304">
      <c r="A304" s="5" t="n">
        <v>301</v>
      </c>
      <c r="B304" s="5">
        <f>WEEKDAY(Demo_Trendline!A304,2)</f>
        <v/>
      </c>
    </row>
    <row r="305">
      <c r="A305" s="5" t="n">
        <v>302</v>
      </c>
      <c r="B305" s="5">
        <f>WEEKDAY(Demo_Trendline!A305,2)</f>
        <v/>
      </c>
    </row>
    <row r="306">
      <c r="A306" s="5" t="n">
        <v>303</v>
      </c>
      <c r="B306" s="5">
        <f>WEEKDAY(Demo_Trendline!A306,2)</f>
        <v/>
      </c>
    </row>
    <row r="307">
      <c r="A307" s="5" t="n">
        <v>304</v>
      </c>
      <c r="B307" s="5">
        <f>WEEKDAY(Demo_Trendline!A307,2)</f>
        <v/>
      </c>
    </row>
    <row r="308">
      <c r="A308" s="5" t="n">
        <v>305</v>
      </c>
      <c r="B308" s="5">
        <f>WEEKDAY(Demo_Trendline!A308,2)</f>
        <v/>
      </c>
    </row>
    <row r="309">
      <c r="A309" s="5" t="n">
        <v>306</v>
      </c>
      <c r="B309" s="5">
        <f>WEEKDAY(Demo_Trendline!A309,2)</f>
        <v/>
      </c>
    </row>
    <row r="310">
      <c r="A310" s="5" t="n">
        <v>307</v>
      </c>
      <c r="B310" s="5">
        <f>WEEKDAY(Demo_Trendline!A310,2)</f>
        <v/>
      </c>
    </row>
    <row r="311">
      <c r="A311" s="5" t="n">
        <v>308</v>
      </c>
      <c r="B311" s="5">
        <f>WEEKDAY(Demo_Trendline!A311,2)</f>
        <v/>
      </c>
    </row>
    <row r="312">
      <c r="A312" s="5" t="n">
        <v>309</v>
      </c>
      <c r="B312" s="5">
        <f>WEEKDAY(Demo_Trendline!A312,2)</f>
        <v/>
      </c>
    </row>
    <row r="313">
      <c r="A313" s="5" t="n">
        <v>310</v>
      </c>
      <c r="B313" s="5">
        <f>WEEKDAY(Demo_Trendline!A313,2)</f>
        <v/>
      </c>
    </row>
    <row r="314">
      <c r="A314" s="5" t="n">
        <v>311</v>
      </c>
      <c r="B314" s="5">
        <f>WEEKDAY(Demo_Trendline!A314,2)</f>
        <v/>
      </c>
    </row>
    <row r="315">
      <c r="A315" s="5" t="n">
        <v>312</v>
      </c>
      <c r="B315" s="5">
        <f>WEEKDAY(Demo_Trendline!A315,2)</f>
        <v/>
      </c>
    </row>
    <row r="316">
      <c r="A316" s="5" t="n">
        <v>313</v>
      </c>
      <c r="B316" s="5">
        <f>WEEKDAY(Demo_Trendline!A316,2)</f>
        <v/>
      </c>
    </row>
    <row r="317">
      <c r="A317" s="5" t="n">
        <v>314</v>
      </c>
      <c r="B317" s="5">
        <f>WEEKDAY(Demo_Trendline!A317,2)</f>
        <v/>
      </c>
    </row>
    <row r="318">
      <c r="A318" s="5" t="n">
        <v>315</v>
      </c>
      <c r="B318" s="5">
        <f>WEEKDAY(Demo_Trendline!A318,2)</f>
        <v/>
      </c>
    </row>
    <row r="319">
      <c r="A319" s="5" t="n">
        <v>316</v>
      </c>
      <c r="B319" s="5">
        <f>WEEKDAY(Demo_Trendline!A319,2)</f>
        <v/>
      </c>
    </row>
    <row r="320">
      <c r="A320" s="5" t="n">
        <v>317</v>
      </c>
      <c r="B320" s="5">
        <f>WEEKDAY(Demo_Trendline!A320,2)</f>
        <v/>
      </c>
    </row>
    <row r="321">
      <c r="A321" s="5" t="n">
        <v>318</v>
      </c>
      <c r="B321" s="5">
        <f>WEEKDAY(Demo_Trendline!A321,2)</f>
        <v/>
      </c>
    </row>
    <row r="322">
      <c r="A322" s="5" t="n">
        <v>319</v>
      </c>
      <c r="B322" s="5">
        <f>WEEKDAY(Demo_Trendline!A322,2)</f>
        <v/>
      </c>
    </row>
    <row r="323">
      <c r="A323" s="5" t="n">
        <v>320</v>
      </c>
      <c r="B323" s="5">
        <f>WEEKDAY(Demo_Trendline!A323,2)</f>
        <v/>
      </c>
    </row>
    <row r="324">
      <c r="A324" s="5" t="n">
        <v>321</v>
      </c>
      <c r="B324" s="5">
        <f>WEEKDAY(Demo_Trendline!A324,2)</f>
        <v/>
      </c>
    </row>
    <row r="325">
      <c r="A325" s="5" t="n">
        <v>322</v>
      </c>
      <c r="B325" s="5">
        <f>WEEKDAY(Demo_Trendline!A325,2)</f>
        <v/>
      </c>
    </row>
    <row r="326">
      <c r="A326" s="5" t="n">
        <v>323</v>
      </c>
      <c r="B326" s="5">
        <f>WEEKDAY(Demo_Trendline!A326,2)</f>
        <v/>
      </c>
    </row>
    <row r="327">
      <c r="A327" s="5" t="n">
        <v>324</v>
      </c>
      <c r="B327" s="5">
        <f>WEEKDAY(Demo_Trendline!A327,2)</f>
        <v/>
      </c>
    </row>
    <row r="328">
      <c r="A328" s="5" t="n">
        <v>325</v>
      </c>
      <c r="B328" s="5">
        <f>WEEKDAY(Demo_Trendline!A328,2)</f>
        <v/>
      </c>
    </row>
    <row r="329">
      <c r="A329" s="5" t="n">
        <v>326</v>
      </c>
      <c r="B329" s="5">
        <f>WEEKDAY(Demo_Trendline!A329,2)</f>
        <v/>
      </c>
    </row>
    <row r="330">
      <c r="A330" s="5" t="n">
        <v>327</v>
      </c>
      <c r="B330" s="5">
        <f>WEEKDAY(Demo_Trendline!A330,2)</f>
        <v/>
      </c>
    </row>
    <row r="331">
      <c r="A331" s="5" t="n">
        <v>328</v>
      </c>
      <c r="B331" s="5">
        <f>WEEKDAY(Demo_Trendline!A331,2)</f>
        <v/>
      </c>
    </row>
    <row r="332">
      <c r="A332" s="5" t="n">
        <v>329</v>
      </c>
      <c r="B332" s="5">
        <f>WEEKDAY(Demo_Trendline!A332,2)</f>
        <v/>
      </c>
    </row>
    <row r="333">
      <c r="A333" s="5" t="n">
        <v>330</v>
      </c>
      <c r="B333" s="5">
        <f>WEEKDAY(Demo_Trendline!A333,2)</f>
        <v/>
      </c>
    </row>
    <row r="334">
      <c r="A334" s="5" t="n">
        <v>331</v>
      </c>
      <c r="B334" s="5">
        <f>WEEKDAY(Demo_Trendline!A334,2)</f>
        <v/>
      </c>
    </row>
    <row r="335">
      <c r="A335" s="5" t="n">
        <v>332</v>
      </c>
      <c r="B335" s="5">
        <f>WEEKDAY(Demo_Trendline!A335,2)</f>
        <v/>
      </c>
    </row>
    <row r="336">
      <c r="A336" s="5" t="n">
        <v>333</v>
      </c>
      <c r="B336" s="5">
        <f>WEEKDAY(Demo_Trendline!A336,2)</f>
        <v/>
      </c>
    </row>
    <row r="337">
      <c r="A337" s="5" t="n">
        <v>334</v>
      </c>
      <c r="B337" s="5">
        <f>WEEKDAY(Demo_Trendline!A337,2)</f>
        <v/>
      </c>
    </row>
    <row r="338">
      <c r="A338" s="5" t="n">
        <v>335</v>
      </c>
      <c r="B338" s="5">
        <f>WEEKDAY(Demo_Trendline!A338,2)</f>
        <v/>
      </c>
    </row>
    <row r="339">
      <c r="A339" s="5" t="n">
        <v>336</v>
      </c>
      <c r="B339" s="5">
        <f>WEEKDAY(Demo_Trendline!A339,2)</f>
        <v/>
      </c>
    </row>
    <row r="340">
      <c r="A340" s="5" t="n">
        <v>337</v>
      </c>
      <c r="B340" s="5">
        <f>WEEKDAY(Demo_Trendline!A340,2)</f>
        <v/>
      </c>
    </row>
    <row r="341">
      <c r="A341" s="5" t="n">
        <v>338</v>
      </c>
      <c r="B341" s="5">
        <f>WEEKDAY(Demo_Trendline!A341,2)</f>
        <v/>
      </c>
    </row>
    <row r="342">
      <c r="A342" s="5" t="n">
        <v>339</v>
      </c>
      <c r="B342" s="5">
        <f>WEEKDAY(Demo_Trendline!A342,2)</f>
        <v/>
      </c>
    </row>
    <row r="343">
      <c r="A343" s="5" t="n">
        <v>340</v>
      </c>
      <c r="B343" s="5">
        <f>WEEKDAY(Demo_Trendline!A343,2)</f>
        <v/>
      </c>
    </row>
    <row r="344">
      <c r="A344" s="5" t="n">
        <v>341</v>
      </c>
      <c r="B344" s="5">
        <f>WEEKDAY(Demo_Trendline!A344,2)</f>
        <v/>
      </c>
    </row>
    <row r="345">
      <c r="A345" s="5" t="n">
        <v>342</v>
      </c>
      <c r="B345" s="5">
        <f>WEEKDAY(Demo_Trendline!A345,2)</f>
        <v/>
      </c>
    </row>
    <row r="346">
      <c r="A346" s="5" t="n">
        <v>343</v>
      </c>
      <c r="B346" s="5">
        <f>WEEKDAY(Demo_Trendline!A346,2)</f>
        <v/>
      </c>
    </row>
    <row r="347">
      <c r="A347" s="5" t="n">
        <v>344</v>
      </c>
      <c r="B347" s="5">
        <f>WEEKDAY(Demo_Trendline!A347,2)</f>
        <v/>
      </c>
    </row>
    <row r="348">
      <c r="A348" s="5" t="n">
        <v>345</v>
      </c>
      <c r="B348" s="5">
        <f>WEEKDAY(Demo_Trendline!A348,2)</f>
        <v/>
      </c>
    </row>
    <row r="349">
      <c r="A349" s="5" t="n">
        <v>346</v>
      </c>
      <c r="B349" s="5">
        <f>WEEKDAY(Demo_Trendline!A349,2)</f>
        <v/>
      </c>
    </row>
    <row r="350">
      <c r="A350" s="5" t="n">
        <v>347</v>
      </c>
      <c r="B350" s="5">
        <f>WEEKDAY(Demo_Trendline!A350,2)</f>
        <v/>
      </c>
    </row>
    <row r="351">
      <c r="A351" s="5" t="n">
        <v>348</v>
      </c>
      <c r="B351" s="5">
        <f>WEEKDAY(Demo_Trendline!A351,2)</f>
        <v/>
      </c>
    </row>
    <row r="352">
      <c r="A352" s="5" t="n">
        <v>349</v>
      </c>
      <c r="B352" s="5">
        <f>WEEKDAY(Demo_Trendline!A352,2)</f>
        <v/>
      </c>
    </row>
    <row r="353">
      <c r="A353" s="5" t="n">
        <v>350</v>
      </c>
      <c r="B353" s="5">
        <f>WEEKDAY(Demo_Trendline!A353,2)</f>
        <v/>
      </c>
    </row>
    <row r="354">
      <c r="A354" s="5" t="n">
        <v>351</v>
      </c>
      <c r="B354" s="5">
        <f>WEEKDAY(Demo_Trendline!A354,2)</f>
        <v/>
      </c>
    </row>
    <row r="355">
      <c r="A355" s="5" t="n">
        <v>352</v>
      </c>
      <c r="B355" s="5">
        <f>WEEKDAY(Demo_Trendline!A355,2)</f>
        <v/>
      </c>
    </row>
    <row r="356">
      <c r="A356" s="5" t="n">
        <v>353</v>
      </c>
      <c r="B356" s="5">
        <f>WEEKDAY(Demo_Trendline!A356,2)</f>
        <v/>
      </c>
    </row>
    <row r="357">
      <c r="A357" s="5" t="n">
        <v>354</v>
      </c>
      <c r="B357" s="5">
        <f>WEEKDAY(Demo_Trendline!A357,2)</f>
        <v/>
      </c>
    </row>
    <row r="358">
      <c r="A358" s="5" t="n">
        <v>355</v>
      </c>
      <c r="B358" s="5">
        <f>WEEKDAY(Demo_Trendline!A358,2)</f>
        <v/>
      </c>
    </row>
    <row r="359">
      <c r="A359" s="5" t="n">
        <v>356</v>
      </c>
      <c r="B359" s="5">
        <f>WEEKDAY(Demo_Trendline!A359,2)</f>
        <v/>
      </c>
    </row>
    <row r="360">
      <c r="A360" s="5" t="n">
        <v>357</v>
      </c>
      <c r="B360" s="5">
        <f>WEEKDAY(Demo_Trendline!A360,2)</f>
        <v/>
      </c>
    </row>
    <row r="361">
      <c r="A361" s="5" t="n">
        <v>358</v>
      </c>
      <c r="B361" s="5">
        <f>WEEKDAY(Demo_Trendline!A361,2)</f>
        <v/>
      </c>
    </row>
    <row r="362">
      <c r="A362" s="5" t="n">
        <v>359</v>
      </c>
      <c r="B362" s="5">
        <f>WEEKDAY(Demo_Trendline!A362,2)</f>
        <v/>
      </c>
    </row>
    <row r="363">
      <c r="A363" s="5" t="n">
        <v>360</v>
      </c>
      <c r="B363" s="5">
        <f>WEEKDAY(Demo_Trendline!A363,2)</f>
        <v/>
      </c>
    </row>
    <row r="364">
      <c r="A364" s="5" t="n">
        <v>361</v>
      </c>
      <c r="B364" s="5">
        <f>WEEKDAY(Demo_Trendline!A364,2)</f>
        <v/>
      </c>
    </row>
    <row r="365">
      <c r="A365" s="5" t="n">
        <v>362</v>
      </c>
      <c r="B365" s="5">
        <f>WEEKDAY(Demo_Trendline!A365,2)</f>
        <v/>
      </c>
    </row>
    <row r="366">
      <c r="A366" s="5" t="n">
        <v>363</v>
      </c>
      <c r="B366" s="5">
        <f>WEEKDAY(Demo_Trendline!A366,2)</f>
        <v/>
      </c>
    </row>
    <row r="367">
      <c r="A367" s="5" t="n">
        <v>364</v>
      </c>
      <c r="B367" s="5">
        <f>WEEKDAY(Demo_Trendline!A367,2)</f>
        <v/>
      </c>
    </row>
    <row r="368">
      <c r="A368" s="5" t="n">
        <v>365</v>
      </c>
      <c r="B368" s="5">
        <f>WEEKDAY(Demo_Trendline!A368,2)</f>
        <v/>
      </c>
    </row>
    <row r="369">
      <c r="A369" s="5" t="n">
        <v>366</v>
      </c>
      <c r="B369" s="5">
        <f>WEEKDAY(Demo_Trendline!A369,2)</f>
        <v/>
      </c>
    </row>
    <row r="370">
      <c r="A370" s="5" t="n">
        <v>367</v>
      </c>
      <c r="B370" s="5">
        <f>WEEKDAY(Demo_Trendline!A370,2)</f>
        <v/>
      </c>
    </row>
    <row r="371">
      <c r="A371" s="5" t="n">
        <v>368</v>
      </c>
      <c r="B371" s="5">
        <f>WEEKDAY(Demo_Trendline!A371,2)</f>
        <v/>
      </c>
    </row>
    <row r="372">
      <c r="A372" s="5" t="n">
        <v>369</v>
      </c>
      <c r="B372" s="5">
        <f>WEEKDAY(Demo_Trendline!A372,2)</f>
        <v/>
      </c>
    </row>
    <row r="373">
      <c r="A373" s="5" t="n">
        <v>370</v>
      </c>
      <c r="B373" s="5">
        <f>WEEKDAY(Demo_Trendline!A373,2)</f>
        <v/>
      </c>
    </row>
    <row r="374">
      <c r="A374" s="5" t="n">
        <v>371</v>
      </c>
      <c r="B374" s="5">
        <f>WEEKDAY(Demo_Trendline!A374,2)</f>
        <v/>
      </c>
    </row>
    <row r="375">
      <c r="A375" s="5" t="n">
        <v>372</v>
      </c>
      <c r="B375" s="5">
        <f>WEEKDAY(Demo_Trendline!A375,2)</f>
        <v/>
      </c>
    </row>
    <row r="376">
      <c r="A376" s="5" t="n">
        <v>373</v>
      </c>
      <c r="B376" s="5">
        <f>WEEKDAY(Demo_Trendline!A376,2)</f>
        <v/>
      </c>
    </row>
    <row r="377">
      <c r="A377" s="5" t="n">
        <v>374</v>
      </c>
      <c r="B377" s="5">
        <f>WEEKDAY(Demo_Trendline!A377,2)</f>
        <v/>
      </c>
    </row>
    <row r="378">
      <c r="A378" s="5" t="n">
        <v>375</v>
      </c>
      <c r="B378" s="5">
        <f>WEEKDAY(Demo_Trendline!A378,2)</f>
        <v/>
      </c>
    </row>
    <row r="379">
      <c r="A379" s="5" t="n">
        <v>376</v>
      </c>
      <c r="B379" s="5">
        <f>WEEKDAY(Demo_Trendline!A379,2)</f>
        <v/>
      </c>
    </row>
    <row r="380">
      <c r="A380" s="5" t="n">
        <v>377</v>
      </c>
      <c r="B380" s="5">
        <f>WEEKDAY(Demo_Trendline!A380,2)</f>
        <v/>
      </c>
    </row>
    <row r="381">
      <c r="A381" s="5" t="n">
        <v>378</v>
      </c>
      <c r="B381" s="5">
        <f>WEEKDAY(Demo_Trendline!A381,2)</f>
        <v/>
      </c>
    </row>
    <row r="382">
      <c r="A382" s="5" t="n">
        <v>379</v>
      </c>
      <c r="B382" s="5">
        <f>WEEKDAY(Demo_Trendline!A382,2)</f>
        <v/>
      </c>
    </row>
    <row r="383">
      <c r="A383" s="5" t="n">
        <v>380</v>
      </c>
      <c r="B383" s="5">
        <f>WEEKDAY(Demo_Trendline!A383,2)</f>
        <v/>
      </c>
    </row>
    <row r="384">
      <c r="A384" s="5" t="n">
        <v>381</v>
      </c>
      <c r="B384" s="5">
        <f>WEEKDAY(Demo_Trendline!A384,2)</f>
        <v/>
      </c>
    </row>
    <row r="385">
      <c r="A385" s="5" t="n">
        <v>382</v>
      </c>
      <c r="B385" s="5">
        <f>WEEKDAY(Demo_Trendline!A385,2)</f>
        <v/>
      </c>
    </row>
    <row r="386">
      <c r="A386" s="5" t="n">
        <v>383</v>
      </c>
      <c r="B386" s="5">
        <f>WEEKDAY(Demo_Trendline!A386,2)</f>
        <v/>
      </c>
    </row>
    <row r="387">
      <c r="A387" s="5" t="n">
        <v>384</v>
      </c>
      <c r="B387" s="5">
        <f>WEEKDAY(Demo_Trendline!A387,2)</f>
        <v/>
      </c>
    </row>
    <row r="388">
      <c r="A388" s="5" t="n">
        <v>385</v>
      </c>
      <c r="B388" s="5">
        <f>WEEKDAY(Demo_Trendline!A388,2)</f>
        <v/>
      </c>
    </row>
    <row r="389">
      <c r="A389" s="5" t="n">
        <v>386</v>
      </c>
      <c r="B389" s="5">
        <f>WEEKDAY(Demo_Trendline!A389,2)</f>
        <v/>
      </c>
    </row>
    <row r="390">
      <c r="A390" s="5" t="n">
        <v>387</v>
      </c>
      <c r="B390" s="5">
        <f>WEEKDAY(Demo_Trendline!A390,2)</f>
        <v/>
      </c>
    </row>
    <row r="391">
      <c r="A391" s="5" t="n">
        <v>388</v>
      </c>
      <c r="B391" s="5">
        <f>WEEKDAY(Demo_Trendline!A391,2)</f>
        <v/>
      </c>
    </row>
    <row r="392">
      <c r="A392" s="5" t="n">
        <v>389</v>
      </c>
      <c r="B392" s="5">
        <f>WEEKDAY(Demo_Trendline!A392,2)</f>
        <v/>
      </c>
    </row>
    <row r="393">
      <c r="A393" s="5" t="n">
        <v>390</v>
      </c>
      <c r="B393" s="5">
        <f>WEEKDAY(Demo_Trendline!A393,2)</f>
        <v/>
      </c>
    </row>
    <row r="394">
      <c r="A394" s="5" t="n">
        <v>391</v>
      </c>
      <c r="B394" s="5">
        <f>WEEKDAY(Demo_Trendline!A394,2)</f>
        <v/>
      </c>
    </row>
    <row r="395">
      <c r="A395" s="5" t="n">
        <v>392</v>
      </c>
      <c r="B395" s="5">
        <f>WEEKDAY(Demo_Trendline!A395,2)</f>
        <v/>
      </c>
    </row>
    <row r="396">
      <c r="A396" s="5" t="n">
        <v>393</v>
      </c>
      <c r="B396" s="5">
        <f>WEEKDAY(Demo_Trendline!A396,2)</f>
        <v/>
      </c>
    </row>
    <row r="397">
      <c r="A397" s="5" t="n">
        <v>394</v>
      </c>
      <c r="B397" s="5">
        <f>WEEKDAY(Demo_Trendline!A397,2)</f>
        <v/>
      </c>
    </row>
    <row r="398">
      <c r="A398" s="5" t="n">
        <v>395</v>
      </c>
      <c r="B398" s="5">
        <f>WEEKDAY(Demo_Trendline!A398,2)</f>
        <v/>
      </c>
    </row>
    <row r="399">
      <c r="A399" s="5" t="n">
        <v>396</v>
      </c>
      <c r="B399" s="5">
        <f>WEEKDAY(Demo_Trendline!A399,2)</f>
        <v/>
      </c>
    </row>
    <row r="400">
      <c r="A400" s="5" t="n">
        <v>397</v>
      </c>
      <c r="B400" s="5">
        <f>WEEKDAY(Demo_Trendline!A400,2)</f>
        <v/>
      </c>
    </row>
    <row r="401">
      <c r="A401" s="5" t="n">
        <v>398</v>
      </c>
      <c r="B401" s="5">
        <f>WEEKDAY(Demo_Trendline!A401,2)</f>
        <v/>
      </c>
    </row>
    <row r="402">
      <c r="A402" s="5" t="n">
        <v>399</v>
      </c>
      <c r="B402" s="5">
        <f>WEEKDAY(Demo_Trendline!A402,2)</f>
        <v/>
      </c>
    </row>
    <row r="403">
      <c r="A403" s="5" t="n">
        <v>400</v>
      </c>
      <c r="B403" s="5">
        <f>WEEKDAY(Demo_Trendline!A403,2)</f>
        <v/>
      </c>
    </row>
    <row r="404">
      <c r="A404" s="5" t="n">
        <v>401</v>
      </c>
      <c r="B404" s="5">
        <f>WEEKDAY(Demo_Trendline!A404,2)</f>
        <v/>
      </c>
    </row>
    <row r="405">
      <c r="A405" s="5" t="n">
        <v>402</v>
      </c>
      <c r="B405" s="5">
        <f>WEEKDAY(Demo_Trendline!A405,2)</f>
        <v/>
      </c>
    </row>
    <row r="406">
      <c r="A406" s="5" t="n">
        <v>403</v>
      </c>
      <c r="B406" s="5">
        <f>WEEKDAY(Demo_Trendline!A406,2)</f>
        <v/>
      </c>
    </row>
    <row r="407">
      <c r="A407" s="5" t="n">
        <v>404</v>
      </c>
      <c r="B407" s="5">
        <f>WEEKDAY(Demo_Trendline!A407,2)</f>
        <v/>
      </c>
    </row>
    <row r="408">
      <c r="A408" s="5" t="n">
        <v>405</v>
      </c>
      <c r="B408" s="5">
        <f>WEEKDAY(Demo_Trendline!A408,2)</f>
        <v/>
      </c>
    </row>
    <row r="409">
      <c r="A409" s="5" t="n">
        <v>406</v>
      </c>
      <c r="B409" s="5">
        <f>WEEKDAY(Demo_Trendline!A409,2)</f>
        <v/>
      </c>
    </row>
    <row r="410">
      <c r="A410" s="5" t="n">
        <v>407</v>
      </c>
      <c r="B410" s="5">
        <f>WEEKDAY(Demo_Trendline!A410,2)</f>
        <v/>
      </c>
    </row>
    <row r="411">
      <c r="A411" s="5" t="n">
        <v>408</v>
      </c>
      <c r="B411" s="5">
        <f>WEEKDAY(Demo_Trendline!A411,2)</f>
        <v/>
      </c>
    </row>
    <row r="412">
      <c r="A412" s="5" t="n">
        <v>409</v>
      </c>
      <c r="B412" s="5">
        <f>WEEKDAY(Demo_Trendline!A412,2)</f>
        <v/>
      </c>
    </row>
    <row r="413">
      <c r="A413" s="5" t="n">
        <v>410</v>
      </c>
      <c r="B413" s="5">
        <f>WEEKDAY(Demo_Trendline!A413,2)</f>
        <v/>
      </c>
    </row>
    <row r="414">
      <c r="A414" s="5" t="n">
        <v>411</v>
      </c>
      <c r="B414" s="5">
        <f>WEEKDAY(Demo_Trendline!A414,2)</f>
        <v/>
      </c>
    </row>
    <row r="415">
      <c r="A415" s="5" t="n">
        <v>412</v>
      </c>
      <c r="B415" s="5">
        <f>WEEKDAY(Demo_Trendline!A415,2)</f>
        <v/>
      </c>
    </row>
    <row r="416">
      <c r="A416" s="5" t="n">
        <v>413</v>
      </c>
      <c r="B416" s="5">
        <f>WEEKDAY(Demo_Trendline!A416,2)</f>
        <v/>
      </c>
    </row>
    <row r="417">
      <c r="A417" s="5" t="n">
        <v>414</v>
      </c>
      <c r="B417" s="5">
        <f>WEEKDAY(Demo_Trendline!A417,2)</f>
        <v/>
      </c>
    </row>
    <row r="418">
      <c r="A418" s="5" t="n">
        <v>415</v>
      </c>
      <c r="B418" s="5">
        <f>WEEKDAY(Demo_Trendline!A418,2)</f>
        <v/>
      </c>
    </row>
    <row r="419">
      <c r="A419" s="5" t="n">
        <v>416</v>
      </c>
      <c r="B419" s="5">
        <f>WEEKDAY(Demo_Trendline!A419,2)</f>
        <v/>
      </c>
    </row>
    <row r="420">
      <c r="A420" s="5" t="n">
        <v>417</v>
      </c>
      <c r="B420" s="5">
        <f>WEEKDAY(Demo_Trendline!A420,2)</f>
        <v/>
      </c>
    </row>
    <row r="421">
      <c r="A421" s="5" t="n">
        <v>418</v>
      </c>
      <c r="B421" s="5">
        <f>WEEKDAY(Demo_Trendline!A421,2)</f>
        <v/>
      </c>
    </row>
    <row r="422">
      <c r="A422" s="5" t="n">
        <v>419</v>
      </c>
      <c r="B422" s="5">
        <f>WEEKDAY(Demo_Trendline!A422,2)</f>
        <v/>
      </c>
    </row>
    <row r="423">
      <c r="A423" s="5" t="n">
        <v>420</v>
      </c>
      <c r="B423" s="5">
        <f>WEEKDAY(Demo_Trendline!A423,2)</f>
        <v/>
      </c>
    </row>
    <row r="424">
      <c r="A424" s="5" t="n">
        <v>421</v>
      </c>
      <c r="B424" s="5">
        <f>WEEKDAY(Demo_Trendline!A424,2)</f>
        <v/>
      </c>
    </row>
    <row r="425">
      <c r="A425" s="5" t="n">
        <v>422</v>
      </c>
      <c r="B425" s="5">
        <f>WEEKDAY(Demo_Trendline!A425,2)</f>
        <v/>
      </c>
    </row>
    <row r="426">
      <c r="A426" s="5" t="n">
        <v>423</v>
      </c>
      <c r="B426" s="5">
        <f>WEEKDAY(Demo_Trendline!A426,2)</f>
        <v/>
      </c>
    </row>
    <row r="427">
      <c r="A427" s="5" t="n">
        <v>424</v>
      </c>
      <c r="B427" s="5">
        <f>WEEKDAY(Demo_Trendline!A427,2)</f>
        <v/>
      </c>
    </row>
    <row r="428">
      <c r="A428" s="5" t="n">
        <v>425</v>
      </c>
      <c r="B428" s="5">
        <f>WEEKDAY(Demo_Trendline!A428,2)</f>
        <v/>
      </c>
    </row>
    <row r="429">
      <c r="A429" s="5" t="n">
        <v>426</v>
      </c>
      <c r="B429" s="5">
        <f>WEEKDAY(Demo_Trendline!A429,2)</f>
        <v/>
      </c>
    </row>
    <row r="430">
      <c r="A430" s="5" t="n">
        <v>427</v>
      </c>
      <c r="B430" s="5">
        <f>WEEKDAY(Demo_Trendline!A430,2)</f>
        <v/>
      </c>
    </row>
    <row r="431">
      <c r="A431" s="5" t="n">
        <v>428</v>
      </c>
      <c r="B431" s="5">
        <f>WEEKDAY(Demo_Trendline!A431,2)</f>
        <v/>
      </c>
    </row>
    <row r="432">
      <c r="A432" s="5" t="n">
        <v>429</v>
      </c>
      <c r="B432" s="5">
        <f>WEEKDAY(Demo_Trendline!A432,2)</f>
        <v/>
      </c>
    </row>
    <row r="433">
      <c r="A433" s="5" t="n">
        <v>430</v>
      </c>
      <c r="B433" s="5">
        <f>WEEKDAY(Demo_Trendline!A433,2)</f>
        <v/>
      </c>
    </row>
    <row r="434">
      <c r="A434" s="5" t="n">
        <v>431</v>
      </c>
      <c r="B434" s="5">
        <f>WEEKDAY(Demo_Trendline!A434,2)</f>
        <v/>
      </c>
    </row>
    <row r="435">
      <c r="A435" s="5" t="n">
        <v>432</v>
      </c>
      <c r="B435" s="5">
        <f>WEEKDAY(Demo_Trendline!A435,2)</f>
        <v/>
      </c>
    </row>
    <row r="436">
      <c r="A436" s="5" t="n">
        <v>433</v>
      </c>
      <c r="B436" s="5">
        <f>WEEKDAY(Demo_Trendline!A436,2)</f>
        <v/>
      </c>
    </row>
    <row r="437">
      <c r="A437" s="5" t="n">
        <v>434</v>
      </c>
      <c r="B437" s="5">
        <f>WEEKDAY(Demo_Trendline!A437,2)</f>
        <v/>
      </c>
    </row>
    <row r="438">
      <c r="A438" s="5" t="n">
        <v>435</v>
      </c>
      <c r="B438" s="5">
        <f>WEEKDAY(Demo_Trendline!A438,2)</f>
        <v/>
      </c>
    </row>
    <row r="439">
      <c r="A439" s="5" t="n">
        <v>436</v>
      </c>
      <c r="B439" s="5">
        <f>WEEKDAY(Demo_Trendline!A439,2)</f>
        <v/>
      </c>
    </row>
    <row r="440">
      <c r="A440" s="5" t="n">
        <v>437</v>
      </c>
      <c r="B440" s="5">
        <f>WEEKDAY(Demo_Trendline!A440,2)</f>
        <v/>
      </c>
    </row>
    <row r="441">
      <c r="A441" s="5" t="n">
        <v>438</v>
      </c>
      <c r="B441" s="5">
        <f>WEEKDAY(Demo_Trendline!A441,2)</f>
        <v/>
      </c>
    </row>
    <row r="442">
      <c r="A442" s="5" t="n">
        <v>439</v>
      </c>
      <c r="B442" s="5">
        <f>WEEKDAY(Demo_Trendline!A442,2)</f>
        <v/>
      </c>
    </row>
    <row r="443">
      <c r="A443" s="5" t="n">
        <v>440</v>
      </c>
      <c r="B443" s="5">
        <f>WEEKDAY(Demo_Trendline!A443,2)</f>
        <v/>
      </c>
    </row>
    <row r="444">
      <c r="A444" s="5" t="n">
        <v>441</v>
      </c>
      <c r="B444" s="5">
        <f>WEEKDAY(Demo_Trendline!A444,2)</f>
        <v/>
      </c>
    </row>
    <row r="445">
      <c r="A445" s="5" t="n">
        <v>442</v>
      </c>
      <c r="B445" s="5">
        <f>WEEKDAY(Demo_Trendline!A445,2)</f>
        <v/>
      </c>
    </row>
    <row r="446">
      <c r="A446" s="5" t="n">
        <v>443</v>
      </c>
      <c r="B446" s="5">
        <f>WEEKDAY(Demo_Trendline!A446,2)</f>
        <v/>
      </c>
    </row>
    <row r="447">
      <c r="A447" s="5" t="n">
        <v>444</v>
      </c>
      <c r="B447" s="5">
        <f>WEEKDAY(Demo_Trendline!A447,2)</f>
        <v/>
      </c>
    </row>
    <row r="448">
      <c r="A448" s="5" t="n">
        <v>445</v>
      </c>
      <c r="B448" s="5">
        <f>WEEKDAY(Demo_Trendline!A448,2)</f>
        <v/>
      </c>
    </row>
    <row r="449">
      <c r="A449" s="5" t="n">
        <v>446</v>
      </c>
      <c r="B449" s="5">
        <f>WEEKDAY(Demo_Trendline!A449,2)</f>
        <v/>
      </c>
    </row>
    <row r="450">
      <c r="A450" s="5" t="n">
        <v>447</v>
      </c>
      <c r="B450" s="5">
        <f>WEEKDAY(Demo_Trendline!A450,2)</f>
        <v/>
      </c>
    </row>
    <row r="451">
      <c r="A451" s="5" t="n">
        <v>448</v>
      </c>
      <c r="B451" s="5">
        <f>WEEKDAY(Demo_Trendline!A451,2)</f>
        <v/>
      </c>
    </row>
    <row r="452">
      <c r="A452" s="5" t="n">
        <v>449</v>
      </c>
      <c r="B452" s="5">
        <f>WEEKDAY(Demo_Trendline!A452,2)</f>
        <v/>
      </c>
    </row>
    <row r="453">
      <c r="A453" s="5" t="n">
        <v>450</v>
      </c>
      <c r="B453" s="5">
        <f>WEEKDAY(Demo_Trendline!A453,2)</f>
        <v/>
      </c>
    </row>
    <row r="454">
      <c r="A454" s="5" t="n">
        <v>451</v>
      </c>
      <c r="B454" s="5">
        <f>WEEKDAY(Demo_Trendline!A454,2)</f>
        <v/>
      </c>
    </row>
    <row r="455">
      <c r="A455" s="5" t="n">
        <v>452</v>
      </c>
      <c r="B455" s="5">
        <f>WEEKDAY(Demo_Trendline!A455,2)</f>
        <v/>
      </c>
    </row>
    <row r="456">
      <c r="A456" s="5" t="n">
        <v>453</v>
      </c>
      <c r="B456" s="5">
        <f>WEEKDAY(Demo_Trendline!A456,2)</f>
        <v/>
      </c>
    </row>
    <row r="457">
      <c r="A457" s="5" t="n">
        <v>454</v>
      </c>
      <c r="B457" s="5">
        <f>WEEKDAY(Demo_Trendline!A457,2)</f>
        <v/>
      </c>
    </row>
    <row r="458">
      <c r="A458" s="5" t="n">
        <v>455</v>
      </c>
      <c r="B458" s="5">
        <f>WEEKDAY(Demo_Trendline!A458,2)</f>
        <v/>
      </c>
    </row>
    <row r="459">
      <c r="A459" s="5" t="n">
        <v>456</v>
      </c>
      <c r="B459" s="5">
        <f>WEEKDAY(Demo_Trendline!A459,2)</f>
        <v/>
      </c>
    </row>
    <row r="460">
      <c r="A460" s="5" t="n">
        <v>457</v>
      </c>
      <c r="B460" s="5">
        <f>WEEKDAY(Demo_Trendline!A460,2)</f>
        <v/>
      </c>
    </row>
    <row r="461">
      <c r="A461" s="5" t="n">
        <v>458</v>
      </c>
      <c r="B461" s="5">
        <f>WEEKDAY(Demo_Trendline!A461,2)</f>
        <v/>
      </c>
    </row>
    <row r="462">
      <c r="A462" s="5" t="n">
        <v>459</v>
      </c>
      <c r="B462" s="5">
        <f>WEEKDAY(Demo_Trendline!A462,2)</f>
        <v/>
      </c>
    </row>
    <row r="463">
      <c r="A463" s="5" t="n">
        <v>460</v>
      </c>
      <c r="B463" s="5">
        <f>WEEKDAY(Demo_Trendline!A463,2)</f>
        <v/>
      </c>
    </row>
    <row r="464">
      <c r="A464" s="5" t="n">
        <v>461</v>
      </c>
      <c r="B464" s="5">
        <f>WEEKDAY(Demo_Trendline!A464,2)</f>
        <v/>
      </c>
    </row>
    <row r="465">
      <c r="A465" s="5" t="n">
        <v>462</v>
      </c>
      <c r="B465" s="5">
        <f>WEEKDAY(Demo_Trendline!A465,2)</f>
        <v/>
      </c>
    </row>
    <row r="466">
      <c r="A466" s="5" t="n">
        <v>463</v>
      </c>
      <c r="B466" s="5">
        <f>WEEKDAY(Demo_Trendline!A466,2)</f>
        <v/>
      </c>
    </row>
    <row r="467">
      <c r="A467" s="5" t="n">
        <v>464</v>
      </c>
      <c r="B467" s="5">
        <f>WEEKDAY(Demo_Trendline!A467,2)</f>
        <v/>
      </c>
    </row>
    <row r="468">
      <c r="A468" s="5" t="n">
        <v>465</v>
      </c>
      <c r="B468" s="5">
        <f>WEEKDAY(Demo_Trendline!A468,2)</f>
        <v/>
      </c>
    </row>
    <row r="469">
      <c r="A469" s="5" t="n">
        <v>466</v>
      </c>
      <c r="B469" s="5">
        <f>WEEKDAY(Demo_Trendline!A469,2)</f>
        <v/>
      </c>
    </row>
    <row r="470">
      <c r="A470" s="5" t="n">
        <v>467</v>
      </c>
      <c r="B470" s="5">
        <f>WEEKDAY(Demo_Trendline!A470,2)</f>
        <v/>
      </c>
    </row>
    <row r="471">
      <c r="A471" s="5" t="n">
        <v>468</v>
      </c>
      <c r="B471" s="5">
        <f>WEEKDAY(Demo_Trendline!A471,2)</f>
        <v/>
      </c>
    </row>
    <row r="472">
      <c r="A472" s="5" t="n">
        <v>469</v>
      </c>
      <c r="B472" s="5">
        <f>WEEKDAY(Demo_Trendline!A472,2)</f>
        <v/>
      </c>
    </row>
    <row r="473">
      <c r="A473" s="5" t="n">
        <v>470</v>
      </c>
      <c r="B473" s="5">
        <f>WEEKDAY(Demo_Trendline!A473,2)</f>
        <v/>
      </c>
    </row>
    <row r="474">
      <c r="A474" s="5" t="n">
        <v>471</v>
      </c>
      <c r="B474" s="5">
        <f>WEEKDAY(Demo_Trendline!A474,2)</f>
        <v/>
      </c>
    </row>
    <row r="475">
      <c r="A475" s="5" t="n">
        <v>472</v>
      </c>
      <c r="B475" s="5">
        <f>WEEKDAY(Demo_Trendline!A475,2)</f>
        <v/>
      </c>
    </row>
    <row r="476">
      <c r="A476" s="5" t="n">
        <v>473</v>
      </c>
      <c r="B476" s="5">
        <f>WEEKDAY(Demo_Trendline!A476,2)</f>
        <v/>
      </c>
    </row>
    <row r="477">
      <c r="A477" s="5" t="n">
        <v>474</v>
      </c>
      <c r="B477" s="5">
        <f>WEEKDAY(Demo_Trendline!A477,2)</f>
        <v/>
      </c>
    </row>
    <row r="478">
      <c r="A478" s="5" t="n">
        <v>475</v>
      </c>
      <c r="B478" s="5">
        <f>WEEKDAY(Demo_Trendline!A478,2)</f>
        <v/>
      </c>
    </row>
    <row r="479">
      <c r="A479" s="5" t="n">
        <v>476</v>
      </c>
      <c r="B479" s="5">
        <f>WEEKDAY(Demo_Trendline!A479,2)</f>
        <v/>
      </c>
    </row>
    <row r="480">
      <c r="A480" s="5" t="n">
        <v>477</v>
      </c>
      <c r="B480" s="5">
        <f>WEEKDAY(Demo_Trendline!A480,2)</f>
        <v/>
      </c>
    </row>
    <row r="481">
      <c r="A481" s="5" t="n">
        <v>478</v>
      </c>
      <c r="B481" s="5">
        <f>WEEKDAY(Demo_Trendline!A481,2)</f>
        <v/>
      </c>
    </row>
    <row r="482">
      <c r="A482" s="5" t="n">
        <v>479</v>
      </c>
      <c r="B482" s="5">
        <f>WEEKDAY(Demo_Trendline!A482,2)</f>
        <v/>
      </c>
    </row>
    <row r="483">
      <c r="A483" s="5" t="n">
        <v>480</v>
      </c>
      <c r="B483" s="5">
        <f>WEEKDAY(Demo_Trendline!A483,2)</f>
        <v/>
      </c>
    </row>
    <row r="484">
      <c r="A484" s="5" t="n">
        <v>481</v>
      </c>
      <c r="B484" s="5">
        <f>WEEKDAY(Demo_Trendline!A484,2)</f>
        <v/>
      </c>
    </row>
    <row r="485">
      <c r="A485" s="5" t="n">
        <v>482</v>
      </c>
      <c r="B485" s="5">
        <f>WEEKDAY(Demo_Trendline!A485,2)</f>
        <v/>
      </c>
    </row>
    <row r="486">
      <c r="A486" s="5" t="n">
        <v>483</v>
      </c>
      <c r="B486" s="5">
        <f>WEEKDAY(Demo_Trendline!A486,2)</f>
        <v/>
      </c>
    </row>
    <row r="487">
      <c r="A487" s="5" t="n">
        <v>484</v>
      </c>
      <c r="B487" s="5">
        <f>WEEKDAY(Demo_Trendline!A487,2)</f>
        <v/>
      </c>
    </row>
    <row r="488">
      <c r="A488" s="5" t="n">
        <v>485</v>
      </c>
      <c r="B488" s="5">
        <f>WEEKDAY(Demo_Trendline!A488,2)</f>
        <v/>
      </c>
    </row>
    <row r="489">
      <c r="A489" s="5" t="n">
        <v>486</v>
      </c>
      <c r="B489" s="5">
        <f>WEEKDAY(Demo_Trendline!A489,2)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Hàm dự báo ETS trên bảng tblNgay (Forecast Sheet: Data → Forecast → Forecast Sheet, tạo sheet mới)</t>
        </is>
      </c>
    </row>
    <row r="3">
      <c r="A3" s="8" t="inlineStr">
        <is>
          <t>Ngày dự báo</t>
        </is>
      </c>
      <c r="B3" s="9" t="n">
        <v>45778</v>
      </c>
    </row>
    <row r="4">
      <c r="A4" s="8" t="inlineStr">
        <is>
          <t>FORECAST.ETS (mùa 7)</t>
        </is>
      </c>
      <c r="B4" s="4">
        <f>_xlfn.FORECAST.ETS(B3,tblNgay[Doanh thu],tblNgay[Ngay],7)</f>
        <v/>
      </c>
    </row>
    <row r="5">
      <c r="A5" s="8" t="inlineStr">
        <is>
          <t>FORECAST.ETS.CONFINT 95% (mùa 7)</t>
        </is>
      </c>
      <c r="B5" s="4">
        <f>_xlfn.FORECAST.ETS.CONFINT(B3,tblNgay[Doanh thu],tblNgay[Ngay],0.95,7)</f>
        <v/>
      </c>
    </row>
    <row r="6">
      <c r="A6" s="8" t="inlineStr">
        <is>
          <t>FORECAST.ETS.SEASONALITY (tự phát hiện)</t>
        </is>
      </c>
      <c r="B6" s="10">
        <f>_xlfn.FORECAST.ETS.SEASONALITY(tblNgay[Doanh thu],tblNgay[Ngay])</f>
        <v/>
      </c>
    </row>
    <row r="7">
      <c r="A7" s="8" t="inlineStr">
        <is>
          <t>Cận dưới 95%</t>
        </is>
      </c>
      <c r="B7" s="4">
        <f>B4-B5</f>
        <v/>
      </c>
    </row>
    <row r="8">
      <c r="A8" s="8" t="inlineStr">
        <is>
          <t>Cận trên 95%</t>
        </is>
      </c>
      <c r="B8" s="4">
        <f>B4+B5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5" customWidth="1" min="3" max="3"/>
  </cols>
  <sheetData>
    <row r="1">
      <c r="A1" s="1" t="inlineStr">
        <is>
          <t>DEMO B6 — DỰ BÁO NHẬP MÔN (slide 23–24)</t>
        </is>
      </c>
    </row>
    <row r="3">
      <c r="A3" s="2" t="inlineStr">
        <is>
          <t>Slide</t>
        </is>
      </c>
      <c r="B3" s="2" t="inlineStr">
        <is>
          <t>Thao tác</t>
        </is>
      </c>
      <c r="C3" s="2" t="inlineStr">
        <is>
          <t>Kết quả mong đợi</t>
        </is>
      </c>
    </row>
    <row r="4">
      <c r="A4" s="11" t="n">
        <v>23</v>
      </c>
      <c r="B4" s="11" t="inlineStr">
        <is>
          <t>Sheet Demo_Trendline: bảng tblNgay (Ngay, Doanh thu). Chọn bảng → Insert → Line chart. Chart Elements → Trendline → Linear; Format Trendline → Forecast Forward 30 periods; tích Display R-squared.</t>
        </is>
      </c>
      <c r="C4" s="11" t="inlineStr">
        <is>
          <t>486 dòng, liên tục 01/01/2024–30/04/2025 (đủ 486 ngày). R² = 0,045; độ dốc ≈ +4.742 VNĐ/ngày (sheet Thong_ke, E18:E19). Dự báo ngày 487 (01/05/2025) ≈ 10,28 triệu (E20).</t>
        </is>
      </c>
    </row>
    <row r="5">
      <c r="A5" s="11" t="n">
        <v>23</v>
      </c>
      <c r="B5" s="11" t="inlineStr">
        <is>
          <t>Sheet Thong_ke: đọc doanh thu trung bình theo thứ (D4:E10).</t>
        </is>
      </c>
      <c r="C5" s="11" t="inlineStr">
        <is>
          <t>Thứ Hai 8.434.264 · Ba 8.643.886 · Tư 8.696.329 · Năm 8.816.072 · Sáu 8.722.935 · Bảy 10.067.797 · Chủ nhật 10.547.341. Chủ nhật hơn thứ Hai 25,1%; cuối tuần hơn ngày thường 19,0%.</t>
        </is>
      </c>
    </row>
    <row r="6">
      <c r="A6" s="11" t="n">
        <v>24</v>
      </c>
      <c r="B6" s="11" t="inlineStr">
        <is>
          <t>Chọn một ô trong tblNgay → Data → Forecast → Forecast Sheet → Options: Forecast End 30/05/2025; Confidence Interval 95%; Seasonality → Set Manually 7 → Create.</t>
        </is>
      </c>
      <c r="C6" s="11" t="inlineStr">
        <is>
          <t>Sheet mới có cột Forecast, Lower Confidence Bound, Upper Confidence Bound và biểu đồ có răng cưa cuối tuần. Thử thêm lần Detect Automatically để so với Set Manually 7.</t>
        </is>
      </c>
    </row>
    <row r="7">
      <c r="A7" s="11" t="n">
        <v>24</v>
      </c>
      <c r="B7" s="11" t="inlineStr">
        <is>
          <t>Sheet Demo_ETS: đọc B3:B8 (hàm FORECAST.ETS, FORECAST.ETS.CONFINT, FORECAST.ETS.SEASONALITY).</t>
        </is>
      </c>
      <c r="C7" s="11" t="inlineStr">
        <is>
          <t>B4 là điểm dự báo ngày 01/05/2025; B5 là nửa chiều rộng dải 95%; B6 là chu kỳ Excel tự phát hiện. Ghi lại các số này để so với thực tế.</t>
        </is>
      </c>
    </row>
    <row r="8">
      <c r="A8" s="11" t="n">
        <v>24</v>
      </c>
      <c r="B8" s="11" t="inlineStr">
        <is>
          <t>Kiểm chứng ngược: trong hộp Forecast Sheet, đặt Forecast Start = 01/04/2025 (trước ngày cuối dữ liệu), so đường Forecast với thực tế.</t>
        </is>
      </c>
      <c r="C8" s="11" t="inlineStr">
        <is>
          <t>Thực tế tháng 4/2025 = 296.965.000 (trung bình 9.898.833 mỗi ngày). Ghi tổng 30 ngày dự báo để so sánh.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2026-10-03T15:46:09Z</dcterms:created>
  <dcterms:modified xmlns:dcterms="http://purl.org/dc/terms/" xmlns:xsi="http://www.w3.org/2001/XMLSchema-instance" xsi:type="dcterms:W3CDTF">2026-10-03T15:46:09Z</dcterms:modified>
</cp:coreProperties>
</file>