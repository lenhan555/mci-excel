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Dashboard_Xau" sheetId="2" state="visible" r:id="rId2"/>
    <sheet xmlns:r="http://schemas.openxmlformats.org/officeDocument/2006/relationships" name="Du_lieu" sheetId="3" state="visible" r:id="rId3"/>
    <sheet xmlns:r="http://schemas.openxmlformats.org/officeDocument/2006/relationships" name="Vi_du_Tru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03864"/>
      <sz val="14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  <font>
      <name val="Arial"/>
      <b val="1"/>
      <color rgb="00FF0000"/>
      <sz val="20"/>
    </font>
    <font>
      <name val="Arial"/>
      <i val="1"/>
      <color rgb="00585858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3" fontId="4" fillId="0" borderId="0" pivotButton="0" quotePrefix="0" xfId="0"/>
    <xf numFmtId="0" fontId="7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Ngành</a:t>
            </a:r>
          </a:p>
        </rich>
      </tx>
    </title>
    <plotArea>
      <pie3DChart>
        <varyColors val="1"/>
        <ser>
          <idx val="0"/>
          <order val="0"/>
          <tx>
            <strRef>
              <f>'Du_lieu'!B3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'Du_lieu'!$A$4:$A$9</f>
            </numRef>
          </cat>
          <val>
            <numRef>
              <f>'Du_lieu'!$B$4:$B$9</f>
            </numRef>
          </val>
        </ser>
      </pie3D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'Du_lieu'!E3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8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FF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FFFF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8000FF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F00FF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00FF80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FF0080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808000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008080"/>
              </a:solidFill>
              <a:ln xmlns:a="http://schemas.openxmlformats.org/drawingml/2006/main">
                <a:prstDash val="solid"/>
              </a:ln>
            </spPr>
          </dPt>
          <cat>
            <numRef>
              <f>'Du_lieu'!$D$4:$D$15</f>
            </numRef>
          </cat>
          <val>
            <numRef>
              <f>'Du_lieu'!$E$4:$E$15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25000000"/>
          <min val="23000000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Xu hướng</a:t>
            </a:r>
          </a:p>
        </rich>
      </tx>
    </title>
    <plotArea>
      <lineChart>
        <grouping val="standard"/>
        <ser>
          <idx val="0"/>
          <order val="0"/>
          <tx>
            <strRef>
              <f>'Du_lieu'!E3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'Du_lieu'!$D$4:$D$15</f>
            </numRef>
          </cat>
          <val>
            <numRef>
              <f>'Du_lieu'!$E$4:$E$15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Miền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'Du_lieu'!H3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8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cat>
            <numRef>
              <f>'Du_lieu'!$G$4:$G$6</f>
            </numRef>
          </cat>
          <val>
            <numRef>
              <f>'Du_lieu'!$H$4:$H$6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Diện tích</a:t>
            </a:r>
          </a:p>
        </rich>
      </tx>
    </title>
    <plotArea>
      <areaChart>
        <grouping val="standard"/>
        <ser>
          <idx val="0"/>
          <order val="0"/>
          <tx>
            <strRef>
              <f>'Du_lieu'!E3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'Du_lieu'!$D$4:$D$15</f>
            </numRef>
          </cat>
          <val>
            <numRef>
              <f>'Du_lieu'!$E$4:$E$15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</a:t>
            </a:r>
          </a:p>
        </rich>
      </tx>
    </title>
    <plotArea>
      <doughnutChart>
        <varyColors val="1"/>
        <ser>
          <idx val="0"/>
          <order val="0"/>
          <tx>
            <strRef>
              <f>'Du_lieu'!H3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'Du_lieu'!$G$4:$G$6</f>
            </numRef>
          </cat>
          <val>
            <numRef>
              <f>'Du_lieu'!$H$4:$H$6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</a:t>
            </a:r>
          </a:p>
        </rich>
      </tx>
    </title>
    <plotArea>
      <radarChart>
        <radarStyle val="standard"/>
        <ser>
          <idx val="0"/>
          <order val="0"/>
          <tx>
            <strRef>
              <f>'Du_lieu'!B3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'Du_lieu'!$A$4:$A$9</f>
            </numRef>
          </cat>
          <val>
            <numRef>
              <f>'Du_lieu'!$B$4:$B$9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Phân tán</a:t>
            </a:r>
          </a:p>
        </rich>
      </tx>
    </title>
    <plotArea>
      <scatterChart>
        <ser>
          <idx val="0"/>
          <order val="0"/>
          <tx>
            <v>Điểm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'Du_lieu'!$K$4:$K$15</f>
            </numRef>
          </xVal>
          <yVal>
            <numRef>
              <f>'Du_lieu'!$K$4:$K$15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Cửa hàng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'Du_lieu'!K3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8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FF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FFFF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8000FF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F00FF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00FF80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FF0080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808000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008080"/>
              </a:solidFill>
              <a:ln xmlns:a="http://schemas.openxmlformats.org/drawingml/2006/main">
                <a:prstDash val="solid"/>
              </a:ln>
            </spPr>
          </dPt>
          <cat>
            <numRef>
              <f>'Du_lieu'!$J$4:$J$15</f>
            </numRef>
          </cat>
          <val>
            <numRef>
              <f>'Du_lieu'!$K$4:$K$15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5000000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Miền (pie)</a:t>
            </a:r>
          </a:p>
        </rich>
      </tx>
    </title>
    <plotArea>
      <pie3DChart>
        <varyColors val="1"/>
        <ser>
          <idx val="0"/>
          <order val="0"/>
          <tx>
            <strRef>
              <f>'Du_lieu'!H3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'Du_lieu'!$G$4:$G$6</f>
            </numRef>
          </cat>
          <val>
            <numRef>
              <f>'Du_lieu'!$H$4:$H$6</f>
            </numRef>
          </val>
        </ser>
      </pie3D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 sánh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'Du_lieu'!B3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8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FF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FFFF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dPt>
          <cat>
            <numRef>
              <f>'Du_lieu'!$A$4:$A$9</f>
            </numRef>
          </cat>
          <val>
            <numRef>
              <f>'Du_lieu'!$B$4:$B$9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Tháng 2025</a:t>
            </a:r>
          </a:p>
        </rich>
      </tx>
    </title>
    <plotArea>
      <lineChart>
        <grouping val="standard"/>
        <ser>
          <idx val="0"/>
          <order val="0"/>
          <tx>
            <strRef>
              <f>'Du_lieu'!N3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'Du_lieu'!$M$4:$M$7</f>
            </numRef>
          </cat>
          <val>
            <numRef>
              <f>'Du_lieu'!$N$4:$N$7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Trục bắt đầu từ 236.000.000 (XẤU)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'Demo_TrucY'!B3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'Demo_TrucY'!$A$4:$A$5</f>
            </numRef>
          </cat>
          <val>
            <numRef>
              <f>'Demo_TrucY'!$B$4:$B$5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40000000"/>
          <min val="23600000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Trục bắt đầu từ 0 (TỐT)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'Demo_TrucY'!B3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'Demo_TrucY'!$A$4:$A$5</f>
            </numRef>
          </cat>
          <val>
            <numRef>
              <f>'Demo_TrucY'!$B$4:$B$5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39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</row>
      <rowOff>0</rowOff>
    </from>
    <ext cx="396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</row>
      <rowOff>0</rowOff>
    </from>
    <ext cx="396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3</row>
      <rowOff>0</rowOff>
    </from>
    <ext cx="396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17</row>
      <rowOff>0</rowOff>
    </from>
    <ext cx="396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17</row>
      <rowOff>0</rowOff>
    </from>
    <ext cx="396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12</col>
      <colOff>0</colOff>
      <row>17</row>
      <rowOff>0</rowOff>
    </from>
    <ext cx="396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18</col>
      <colOff>0</colOff>
      <row>17</row>
      <rowOff>0</rowOff>
    </from>
    <ext cx="396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31</row>
      <rowOff>0</rowOff>
    </from>
    <ext cx="396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6</col>
      <colOff>0</colOff>
      <row>31</row>
      <rowOff>0</rowOff>
    </from>
    <ext cx="396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12</col>
      <colOff>0</colOff>
      <row>31</row>
      <rowOff>0</rowOff>
    </from>
    <ext cx="396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18</col>
      <colOff>0</colOff>
      <row>31</row>
      <rowOff>0</rowOff>
    </from>
    <ext cx="396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1" sqref="A1"/>
    </sheetView>
  </sheetViews>
  <sheetFormatPr baseColWidth="8" defaultRowHeight="15" outlineLevelCol="0"/>
  <cols>
    <col width="8" customWidth="1" min="1" max="1"/>
    <col width="80" customWidth="1" min="2" max="2"/>
    <col width="55" customWidth="1" min="3" max="3"/>
  </cols>
  <sheetData>
    <row r="1">
      <c r="A1" s="3" t="inlineStr">
        <is>
          <t>VÍ DỤ B6 — DASHBOARD XẤU (slide 2, 8, 9)</t>
        </is>
      </c>
    </row>
    <row r="3">
      <c r="A3" s="4" t="inlineStr">
        <is>
          <t>Slide</t>
        </is>
      </c>
      <c r="B3" s="4" t="inlineStr">
        <is>
          <t>Thao tác</t>
        </is>
      </c>
      <c r="C3" s="4" t="inlineStr">
        <is>
          <t>Kết quả mong đợi</t>
        </is>
      </c>
    </row>
    <row r="4">
      <c r="A4" s="10" t="n">
        <v>8</v>
      </c>
      <c r="B4" s="10" t="inlineStr">
        <is>
          <t>Mở sheet Dashboard_Xau. Chiếu 5 giây rồi che màn hình; mỗi người ghi: KPI chính là gì · đạt hay chưa đạt target · nên nhìn đâu tiếp. Sau đó chiếu lại và liệt kê vấn đề.</t>
        </is>
      </c>
      <c r="C4" s="10" t="inlineStr">
        <is>
          <t>Không ai nói được đạt hay chưa (không có target). Đếm được ≥ 6 vấn đề: 12 chart; pie 3D; pie 6 phần (Sữa 1,8%); trục Y cắt khúc ở hai chart cột; màu cầu vồng; không có KPI, thứ bậc, slicer; tiêu đề chart là nhãn chung chung.</t>
        </is>
      </c>
    </row>
    <row r="5">
      <c r="A5" s="10" t="n">
        <v>8</v>
      </c>
      <c r="B5" s="10" t="inlineStr">
        <is>
          <t>Mở sheet Du_lieu, đối chiếu số trên pie ngành với dữ liệu.</t>
        </is>
      </c>
      <c r="C5" s="10" t="inlineStr">
        <is>
          <t>Tỷ trọng ngành T1–T4/2025 trong pie: Bánh kẹo 34,5% · Gia dụng 22,5% · Thực phẩm khô 18,0% · Chăm sóc cá nhân 11,6% · Đồ uống 11,6% · Sữa 1,8%; tổng 1.238.419.000.</t>
        </is>
      </c>
    </row>
    <row r="6">
      <c r="A6" s="10" t="n">
        <v>9</v>
      </c>
      <c r="B6" s="10" t="inlineStr">
        <is>
          <t>Mở sheet Vi_du_TrucY, xem hai biểu đồ cột cạnh nhau (cùng dữ liệu T3 và T4/2024).</t>
        </is>
      </c>
      <c r="C6" s="10" t="inlineStr">
        <is>
          <t>Chênh lệch thật 0,96% (ô E4), Trục từ 236,000,000: cột T4 cao gấp 2,91 lần cột T3 (ô E5); trục từ 0: gấp 1,01 lần (ô E6).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tabSelected="0" zoomScale="60" workbookViewId="0">
      <selection activeCell="A1" sqref="A1"/>
    </sheetView>
  </sheetViews>
  <sheetFormatPr baseColWidth="8" defaultRowHeight="15"/>
  <sheetData>
    <row r="1">
      <c r="A1" s="1" t="inlineStr">
        <is>
          <t>DASHBOARD BÁN HÀNG MCI MART</t>
        </is>
      </c>
    </row>
    <row r="2">
      <c r="A2" s="2" t="inlineStr">
        <is>
          <t>(ví dụ xấu — đừng làm theo)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0" workbookViewId="0">
      <selection activeCell="A1" sqref="A1"/>
    </sheetView>
  </sheetViews>
  <sheetFormatPr baseColWidth="8" defaultRowHeight="15" outlineLevelCol="0"/>
  <cols>
    <col width="18" customWidth="1" min="1" max="1"/>
    <col width="22" customWidth="1" min="2" max="2"/>
    <col width="3" customWidth="1" min="3" max="3"/>
    <col width="14" customWidth="1" min="4" max="4"/>
    <col width="18" customWidth="1" min="5" max="5"/>
    <col width="3" customWidth="1" min="6" max="6"/>
    <col width="10" customWidth="1" min="7" max="7"/>
    <col width="16" customWidth="1" min="8" max="8"/>
    <col width="3" customWidth="1" min="9" max="9"/>
    <col width="12" customWidth="1" min="10" max="10"/>
    <col width="16" customWidth="1" min="11" max="11"/>
    <col width="3" customWidth="1" min="12" max="12"/>
    <col width="14" customWidth="1" min="13" max="13"/>
    <col width="18" customWidth="1" min="14" max="14"/>
  </cols>
  <sheetData>
    <row r="1">
      <c r="A1" s="3" t="inlineStr">
        <is>
          <t>Dữ liệu cho dashboard xấu (từ MCI Mart; số dựng bằng script, không gõ tay)</t>
        </is>
      </c>
    </row>
    <row r="3">
      <c r="A3" s="4" t="inlineStr">
        <is>
          <t>Ngành</t>
        </is>
      </c>
      <c r="B3" s="4" t="inlineStr">
        <is>
          <t>Doanh thu T1–T4/2025</t>
        </is>
      </c>
      <c r="D3" s="4" t="inlineStr">
        <is>
          <t>Tháng 2024</t>
        </is>
      </c>
      <c r="E3" s="4" t="inlineStr">
        <is>
          <t>Doanh thu 2024</t>
        </is>
      </c>
      <c r="G3" s="4" t="inlineStr">
        <is>
          <t>Miền</t>
        </is>
      </c>
      <c r="H3" s="4" t="inlineStr">
        <is>
          <t>Q1/2025</t>
        </is>
      </c>
      <c r="J3" s="4" t="inlineStr">
        <is>
          <t>Cửa hàng</t>
        </is>
      </c>
      <c r="K3" s="4" t="inlineStr">
        <is>
          <t>T1–T4/2025</t>
        </is>
      </c>
      <c r="M3" s="4" t="inlineStr">
        <is>
          <t>Tháng 2025</t>
        </is>
      </c>
      <c r="N3" s="4" t="inlineStr">
        <is>
          <t>Doanh thu 2025</t>
        </is>
      </c>
    </row>
    <row r="4">
      <c r="A4" s="5" t="inlineStr">
        <is>
          <t>Bánh kẹo</t>
        </is>
      </c>
      <c r="B4" s="6" t="n">
        <v>426916000</v>
      </c>
      <c r="D4" s="5" t="inlineStr">
        <is>
          <t>T1</t>
        </is>
      </c>
      <c r="E4" s="6" t="n">
        <v>298203000</v>
      </c>
      <c r="G4" s="5" t="inlineStr">
        <is>
          <t>Bắc</t>
        </is>
      </c>
      <c r="H4" s="6" t="n">
        <v>323978000</v>
      </c>
      <c r="J4" s="5" t="inlineStr">
        <is>
          <t>ST01</t>
        </is>
      </c>
      <c r="K4" s="6" t="n">
        <v>142931000</v>
      </c>
      <c r="M4" s="5" t="inlineStr">
        <is>
          <t>T1</t>
        </is>
      </c>
      <c r="N4" s="6" t="n">
        <v>425850000</v>
      </c>
    </row>
    <row r="5">
      <c r="A5" s="5" t="inlineStr">
        <is>
          <t>Gia dụng</t>
        </is>
      </c>
      <c r="B5" s="6" t="n">
        <v>278397000</v>
      </c>
      <c r="D5" s="5" t="inlineStr">
        <is>
          <t>T2</t>
        </is>
      </c>
      <c r="E5" s="6" t="n">
        <v>248304000</v>
      </c>
      <c r="G5" s="5" t="inlineStr">
        <is>
          <t>Trung</t>
        </is>
      </c>
      <c r="H5" s="6" t="n">
        <v>189813000</v>
      </c>
      <c r="J5" s="5" t="inlineStr">
        <is>
          <t>ST02</t>
        </is>
      </c>
      <c r="K5" s="6" t="n">
        <v>126135000</v>
      </c>
      <c r="M5" s="5" t="inlineStr">
        <is>
          <t>T2</t>
        </is>
      </c>
      <c r="N5" s="6" t="n">
        <v>245996000</v>
      </c>
    </row>
    <row r="6">
      <c r="A6" s="5" t="inlineStr">
        <is>
          <t>Thực phẩm khô</t>
        </is>
      </c>
      <c r="B6" s="6" t="n">
        <v>222348000</v>
      </c>
      <c r="D6" s="5" t="inlineStr">
        <is>
          <t>T3</t>
        </is>
      </c>
      <c r="E6" s="6" t="n">
        <v>237192000</v>
      </c>
      <c r="G6" s="5" t="inlineStr">
        <is>
          <t>Nam</t>
        </is>
      </c>
      <c r="H6" s="6" t="n">
        <v>427663000</v>
      </c>
      <c r="J6" s="5" t="inlineStr">
        <is>
          <t>ST03</t>
        </is>
      </c>
      <c r="K6" s="6" t="n">
        <v>93198000</v>
      </c>
      <c r="M6" s="5" t="inlineStr">
        <is>
          <t>T3</t>
        </is>
      </c>
      <c r="N6" s="6" t="n">
        <v>269608000</v>
      </c>
    </row>
    <row r="7">
      <c r="A7" s="5" t="inlineStr">
        <is>
          <t>Chăm sóc cá nhân</t>
        </is>
      </c>
      <c r="B7" s="6" t="n">
        <v>143991000</v>
      </c>
      <c r="D7" s="5" t="inlineStr">
        <is>
          <t>T4</t>
        </is>
      </c>
      <c r="E7" s="6" t="n">
        <v>239466000</v>
      </c>
      <c r="J7" s="5" t="inlineStr">
        <is>
          <t>ST04</t>
        </is>
      </c>
      <c r="K7" s="6" t="n">
        <v>56752000</v>
      </c>
      <c r="M7" s="5" t="inlineStr">
        <is>
          <t>T4</t>
        </is>
      </c>
      <c r="N7" s="6" t="n">
        <v>296965000</v>
      </c>
    </row>
    <row r="8">
      <c r="A8" s="5" t="inlineStr">
        <is>
          <t>Đồ uống</t>
        </is>
      </c>
      <c r="B8" s="6" t="n">
        <v>143977000</v>
      </c>
      <c r="D8" s="5" t="inlineStr">
        <is>
          <t>T5</t>
        </is>
      </c>
      <c r="E8" s="6" t="n">
        <v>239810000</v>
      </c>
      <c r="J8" s="5" t="inlineStr">
        <is>
          <t>ST05</t>
        </is>
      </c>
      <c r="K8" s="6" t="n">
        <v>111246000</v>
      </c>
    </row>
    <row r="9">
      <c r="A9" s="5" t="inlineStr">
        <is>
          <t>Sữa</t>
        </is>
      </c>
      <c r="B9" s="6" t="n">
        <v>22790000</v>
      </c>
      <c r="D9" s="5" t="inlineStr">
        <is>
          <t>T6</t>
        </is>
      </c>
      <c r="E9" s="6" t="n">
        <v>249780000</v>
      </c>
      <c r="J9" s="5" t="inlineStr">
        <is>
          <t>ST06</t>
        </is>
      </c>
      <c r="K9" s="6" t="n">
        <v>63759000</v>
      </c>
    </row>
    <row r="10">
      <c r="D10" s="5" t="inlineStr">
        <is>
          <t>T7</t>
        </is>
      </c>
      <c r="E10" s="6" t="n">
        <v>250600000</v>
      </c>
      <c r="J10" s="5" t="inlineStr">
        <is>
          <t>ST07</t>
        </is>
      </c>
      <c r="K10" s="6" t="n">
        <v>74674000</v>
      </c>
    </row>
    <row r="11">
      <c r="D11" s="5" t="inlineStr">
        <is>
          <t>T8</t>
        </is>
      </c>
      <c r="E11" s="6" t="n">
        <v>288585500</v>
      </c>
      <c r="J11" s="5" t="inlineStr">
        <is>
          <t>ST08</t>
        </is>
      </c>
      <c r="K11" s="6" t="n">
        <v>171623000</v>
      </c>
    </row>
    <row r="12">
      <c r="D12" s="5" t="inlineStr">
        <is>
          <t>T9</t>
        </is>
      </c>
      <c r="E12" s="6" t="n">
        <v>271399500</v>
      </c>
      <c r="J12" s="5" t="inlineStr">
        <is>
          <t>ST09</t>
        </is>
      </c>
      <c r="K12" s="6" t="n">
        <v>124507000</v>
      </c>
    </row>
    <row r="13">
      <c r="D13" s="5" t="inlineStr">
        <is>
          <t>T10</t>
        </is>
      </c>
      <c r="E13" s="6" t="n">
        <v>276707000</v>
      </c>
      <c r="J13" s="5" t="inlineStr">
        <is>
          <t>ST10</t>
        </is>
      </c>
      <c r="K13" s="6" t="n">
        <v>122400000</v>
      </c>
    </row>
    <row r="14">
      <c r="D14" s="5" t="inlineStr">
        <is>
          <t>T11</t>
        </is>
      </c>
      <c r="E14" s="6" t="n">
        <v>276029000</v>
      </c>
      <c r="J14" s="5" t="inlineStr">
        <is>
          <t>ST11</t>
        </is>
      </c>
      <c r="K14" s="6" t="n">
        <v>71795000</v>
      </c>
    </row>
    <row r="15">
      <c r="D15" s="5" t="inlineStr">
        <is>
          <t>T12</t>
        </is>
      </c>
      <c r="E15" s="6" t="n">
        <v>322354500</v>
      </c>
      <c r="J15" s="5" t="inlineStr">
        <is>
          <t>ST12</t>
        </is>
      </c>
      <c r="K15" s="6" t="n">
        <v>79399000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0"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3" customWidth="1" min="3" max="3"/>
    <col width="52" customWidth="1" min="4" max="4"/>
    <col width="16" customWidth="1" min="5" max="5"/>
  </cols>
  <sheetData>
    <row r="1">
      <c r="A1" s="3" t="inlineStr">
        <is>
          <t>Trục Y: cùng một dữ liệu, hai cách vẽ</t>
        </is>
      </c>
    </row>
    <row r="3">
      <c r="A3" s="4" t="inlineStr">
        <is>
          <t>Tháng</t>
        </is>
      </c>
      <c r="B3" s="4" t="inlineStr">
        <is>
          <t>Doanh thu (VNĐ)</t>
        </is>
      </c>
      <c r="D3" s="7" t="inlineStr">
        <is>
          <t>Mốc trục bị cắt</t>
        </is>
      </c>
      <c r="E3" s="6" t="n">
        <v>236000000</v>
      </c>
    </row>
    <row r="4">
      <c r="A4" s="5" t="inlineStr">
        <is>
          <t>T3/2024</t>
        </is>
      </c>
      <c r="B4" s="6" t="n">
        <v>237192000</v>
      </c>
      <c r="D4" s="7" t="inlineStr">
        <is>
          <t>Chênh lệch thật (T4 so T3)</t>
        </is>
      </c>
      <c r="E4" s="8">
        <f>B5/B4-1</f>
        <v/>
      </c>
    </row>
    <row r="5">
      <c r="A5" s="5" t="inlineStr">
        <is>
          <t>T4/2024</t>
        </is>
      </c>
      <c r="B5" s="6" t="n">
        <v>239466000</v>
      </c>
      <c r="D5" s="7" t="inlineStr">
        <is>
          <t>Chiều cao cột T4 ÷ T3 khi trục bắt đầu từ mốc cắt</t>
        </is>
      </c>
      <c r="E5" s="9">
        <f>(B5-E3)/(B4-E3)</f>
        <v/>
      </c>
    </row>
    <row r="6">
      <c r="D6" s="7" t="inlineStr">
        <is>
          <t>Chiều cao cột T4 ÷ T3 khi trục bắt đầu từ 0</t>
        </is>
      </c>
      <c r="E6" s="9">
        <f>B5/B4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2026-10-03T15:46:09Z</dcterms:created>
  <dcterms:modified xmlns:dcterms="http://purl.org/dc/terms/" xmlns:xsi="http://www.w3.org/2001/XMLSchema-instance" xsi:type="dcterms:W3CDTF">2026-10-03T15:46:09Z</dcterms:modified>
</cp:coreProperties>
</file>